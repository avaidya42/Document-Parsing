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posals\Xytel GMC\"/>
    </mc:Choice>
  </mc:AlternateContent>
  <xr:revisionPtr revIDLastSave="0" documentId="13_ncr:1_{1BCB52AA-FCD9-4AAE-BBBB-C6AF32FA2B30}" xr6:coauthVersionLast="47" xr6:coauthVersionMax="47" xr10:uidLastSave="{00000000-0000-0000-0000-000000000000}"/>
  <bookViews>
    <workbookView xWindow="-120" yWindow="-120" windowWidth="20730" windowHeight="11040" tabRatio="725" activeTab="1" xr2:uid="{00000000-000D-0000-FFFF-FFFF00000000}"/>
  </bookViews>
  <sheets>
    <sheet name="Employee Data" sheetId="3" r:id="rId1"/>
    <sheet name="GMC Employee RFQ " sheetId="4" r:id="rId2"/>
    <sheet name="Demo" sheetId="6" r:id="rId3"/>
    <sheet name="MIS" sheetId="9" r:id="rId4"/>
  </sheets>
  <externalReferences>
    <externalReference r:id="rId5"/>
  </externalReferences>
  <definedNames>
    <definedName name="_xlnm._FilterDatabase" localSheetId="0" hidden="1">'Employee Data'!$A$1:$H$166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F13" i="4" l="1"/>
  <c r="F11" i="4"/>
  <c r="D10" i="4"/>
  <c r="F103" i="3" l="1"/>
  <c r="G103" i="3" s="1"/>
  <c r="F104" i="3"/>
  <c r="G104" i="3" s="1"/>
  <c r="F105" i="3"/>
  <c r="G105" i="3" s="1"/>
  <c r="F106" i="3"/>
  <c r="G106" i="3" s="1"/>
  <c r="F107" i="3"/>
  <c r="G107" i="3" s="1"/>
  <c r="F108" i="3"/>
  <c r="G108" i="3" s="1"/>
  <c r="F109" i="3"/>
  <c r="G109" i="3" s="1"/>
  <c r="F110" i="3"/>
  <c r="G110" i="3" s="1"/>
  <c r="F111" i="3"/>
  <c r="G111" i="3" s="1"/>
  <c r="F112" i="3"/>
  <c r="G112" i="3" s="1"/>
  <c r="F113" i="3"/>
  <c r="G113" i="3" s="1"/>
  <c r="F114" i="3"/>
  <c r="G114" i="3" s="1"/>
  <c r="F115" i="3"/>
  <c r="G115" i="3" s="1"/>
  <c r="F116" i="3"/>
  <c r="G116" i="3" s="1"/>
  <c r="F117" i="3"/>
  <c r="G117" i="3" s="1"/>
  <c r="F118" i="3"/>
  <c r="G118" i="3" s="1"/>
  <c r="F119" i="3"/>
  <c r="G119" i="3" s="1"/>
  <c r="F120" i="3"/>
  <c r="G120" i="3" s="1"/>
  <c r="F121" i="3"/>
  <c r="G121" i="3" s="1"/>
  <c r="F122" i="3"/>
  <c r="G122" i="3" s="1"/>
  <c r="F123" i="3"/>
  <c r="G123" i="3" s="1"/>
  <c r="F124" i="3"/>
  <c r="G124" i="3" s="1"/>
  <c r="F125" i="3"/>
  <c r="G125" i="3" s="1"/>
  <c r="F126" i="3"/>
  <c r="G126" i="3" s="1"/>
  <c r="F127" i="3"/>
  <c r="G127" i="3" s="1"/>
  <c r="F128" i="3"/>
  <c r="G128" i="3" s="1"/>
  <c r="F129" i="3"/>
  <c r="G129" i="3" s="1"/>
  <c r="F130" i="3"/>
  <c r="G130" i="3" s="1"/>
  <c r="F131" i="3"/>
  <c r="G131" i="3" s="1"/>
  <c r="F132" i="3"/>
  <c r="G132" i="3" s="1"/>
  <c r="F133" i="3"/>
  <c r="G133" i="3" s="1"/>
  <c r="F134" i="3"/>
  <c r="G134" i="3" s="1"/>
  <c r="F135" i="3"/>
  <c r="G135" i="3" s="1"/>
  <c r="F136" i="3"/>
  <c r="G136" i="3" s="1"/>
  <c r="F137" i="3"/>
  <c r="G137" i="3" s="1"/>
  <c r="F138" i="3"/>
  <c r="G138" i="3" s="1"/>
  <c r="F139" i="3"/>
  <c r="G139" i="3" s="1"/>
  <c r="F140" i="3"/>
  <c r="G140" i="3" s="1"/>
  <c r="F141" i="3"/>
  <c r="G141" i="3" s="1"/>
  <c r="F142" i="3"/>
  <c r="G142" i="3" s="1"/>
  <c r="F143" i="3"/>
  <c r="G143" i="3" s="1"/>
  <c r="F144" i="3"/>
  <c r="G144" i="3" s="1"/>
  <c r="F145" i="3"/>
  <c r="G145" i="3" s="1"/>
  <c r="F146" i="3"/>
  <c r="G146" i="3" s="1"/>
  <c r="F147" i="3"/>
  <c r="G147" i="3" s="1"/>
  <c r="F148" i="3"/>
  <c r="G148" i="3" s="1"/>
  <c r="F149" i="3"/>
  <c r="G149" i="3" s="1"/>
  <c r="F150" i="3"/>
  <c r="G150" i="3" s="1"/>
  <c r="F151" i="3"/>
  <c r="G151" i="3" s="1"/>
  <c r="F152" i="3"/>
  <c r="G152" i="3" s="1"/>
  <c r="F153" i="3"/>
  <c r="G153" i="3" s="1"/>
  <c r="F2" i="3"/>
  <c r="G2" i="3" s="1"/>
  <c r="F154" i="3"/>
  <c r="G154" i="3" s="1"/>
  <c r="F155" i="3"/>
  <c r="G155" i="3" s="1"/>
  <c r="F156" i="3"/>
  <c r="G156" i="3" s="1"/>
  <c r="F157" i="3"/>
  <c r="G157" i="3" s="1"/>
  <c r="F158" i="3"/>
  <c r="G158" i="3" s="1"/>
  <c r="F159" i="3"/>
  <c r="G159" i="3" s="1"/>
  <c r="F160" i="3"/>
  <c r="G160" i="3" s="1"/>
  <c r="F161" i="3"/>
  <c r="G161" i="3" s="1"/>
  <c r="F162" i="3"/>
  <c r="G162" i="3" s="1"/>
  <c r="F163" i="3"/>
  <c r="G163" i="3" s="1"/>
  <c r="F164" i="3"/>
  <c r="G164" i="3" s="1"/>
  <c r="F165" i="3"/>
  <c r="G165" i="3" s="1"/>
  <c r="F166" i="3"/>
  <c r="G166" i="3" s="1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F91" i="3"/>
  <c r="G91" i="3" s="1"/>
  <c r="F92" i="3"/>
  <c r="G92" i="3" s="1"/>
  <c r="F93" i="3"/>
  <c r="G93" i="3" s="1"/>
  <c r="F94" i="3"/>
  <c r="G94" i="3" s="1"/>
  <c r="F95" i="3"/>
  <c r="G95" i="3" s="1"/>
  <c r="F96" i="3"/>
  <c r="G96" i="3" s="1"/>
  <c r="F97" i="3"/>
  <c r="G97" i="3" s="1"/>
  <c r="F98" i="3"/>
  <c r="G98" i="3" s="1"/>
  <c r="F99" i="3"/>
  <c r="G99" i="3" s="1"/>
  <c r="F100" i="3"/>
  <c r="G100" i="3" s="1"/>
  <c r="F101" i="3"/>
  <c r="G101" i="3" s="1"/>
  <c r="F102" i="3"/>
  <c r="G102" i="3" s="1"/>
  <c r="D13" i="4"/>
  <c r="D14" i="4"/>
  <c r="C47" i="4"/>
  <c r="C48" i="4" s="1"/>
</calcChain>
</file>

<file path=xl/sharedStrings.xml><?xml version="1.0" encoding="utf-8"?>
<sst xmlns="http://schemas.openxmlformats.org/spreadsheetml/2006/main" count="2144" uniqueCount="781">
  <si>
    <t>EMEDLIFE INSURANCE BROKING SERVICES LTD</t>
  </si>
  <si>
    <t>Name of Client</t>
  </si>
  <si>
    <t>Address</t>
  </si>
  <si>
    <t>Insurer</t>
  </si>
  <si>
    <t>Premium Paid (Without ST) @inception</t>
  </si>
  <si>
    <t>ADD &amp; Del Endo Premium</t>
  </si>
  <si>
    <t>Total Premium (Rs.)</t>
  </si>
  <si>
    <t>Expiring  Total No of Lives @ Inception</t>
  </si>
  <si>
    <t>Claim Ratio</t>
  </si>
  <si>
    <t>Diffrence in Life</t>
  </si>
  <si>
    <t>TPA</t>
  </si>
  <si>
    <t>Details of Coverages</t>
  </si>
  <si>
    <t>Sr No</t>
  </si>
  <si>
    <t xml:space="preserve">Proposed </t>
  </si>
  <si>
    <t>Yes</t>
  </si>
  <si>
    <t>Pre-existing diseases are covered for existing members and new joinees</t>
  </si>
  <si>
    <t>30 Days Wait Period condition is waived for existing members and new joinees</t>
  </si>
  <si>
    <t xml:space="preserve">First &amp; Second year exclusion condition for specific diseases is waived off </t>
  </si>
  <si>
    <t>Pre &amp; Post Hospitalization is covered for 30 days and 60 days respectively</t>
  </si>
  <si>
    <t>NA</t>
  </si>
  <si>
    <t xml:space="preserve">9 month waiting period is waived off </t>
  </si>
  <si>
    <t>Maternity claim is payable for first two dependent children only</t>
  </si>
  <si>
    <t>Pre &amp; Post natal expenses are covered upto INR 5000 within the overall maternity limit for a period of 30 days Pre &amp; Post Delivery</t>
  </si>
  <si>
    <t>New Born Baby covered from day one within family floater Sum Insured.</t>
  </si>
  <si>
    <t>Treatment for Refractive Error Covered with refractive error +/- 7.5</t>
  </si>
  <si>
    <t>Day Care Procedures Covered</t>
  </si>
  <si>
    <t>50% Co-Pay for cyberknife treatment, Stem Cell Transplantation, Uterine Artery Embolization and HIFU, Balloon Sinuplasty, Deep Brain stimulation, Immunotherapy- Monoclonal Antibody to be given as injection, Robotic surgeries, Stereotactic radio surgeries, Bronchical Thermoplasty, Vaporisation of the prostrate (Green laser treatment or holmium laser treatment), IONM - (Intra Operative Neuro Monitoring). Cochlear Implant treatment and Oral chemotherapy shall be restricted to 50% of the Sum Insured(SI). Intra vitreal injection is covered upto 50% of SI maximum upto Rs.50,000 per family. Liability for Nasal Sinus Surgeries upto Rs.35,000; Hospitalisation arising out of Psychiatric ailments upto Rs.30,000.</t>
  </si>
  <si>
    <t>Addition/deletion shall be done on prorata basis once in a month only subject to data being provided to us by 15th of succeeding month.</t>
  </si>
  <si>
    <t>Modern treatments, psychiatric treatments and weight loss treatment covered under the policy as per terms and conditions up to 50% of the Sum Insured.</t>
  </si>
  <si>
    <t>Mid term increase in SI is not allowed.</t>
  </si>
  <si>
    <t>Genetic Disorder covered upto 25% of Individual or Family SI Limit or Rs. 2 Lakhs per insured which ever is lower subject to available Balance SI.</t>
  </si>
  <si>
    <t>Administration/ Registration/ Service Charges &amp; Misc. Charges are not payable.</t>
  </si>
  <si>
    <t>Congenital internal disease cover-Covered for within floater SI. External Congenital covered for Life Threatening Conditions</t>
  </si>
  <si>
    <t>Relation</t>
  </si>
  <si>
    <t>Age</t>
  </si>
  <si>
    <t>Gender</t>
  </si>
  <si>
    <t>Emp Number</t>
  </si>
  <si>
    <t>Member Name</t>
  </si>
  <si>
    <t>Employee Name</t>
  </si>
  <si>
    <t>Date of Birth (DD-MMM-YYYY)</t>
  </si>
  <si>
    <t>No of Employees</t>
  </si>
  <si>
    <t>No of Dependent</t>
  </si>
  <si>
    <t>Total No of Lives</t>
  </si>
  <si>
    <t xml:space="preserve"> Co- Pay- Whitout Co-Pay</t>
  </si>
  <si>
    <t>No</t>
  </si>
  <si>
    <t>Male</t>
  </si>
  <si>
    <t>Female</t>
  </si>
  <si>
    <t>Grand Total</t>
  </si>
  <si>
    <t>Column Labels</t>
  </si>
  <si>
    <t>Count of Age</t>
  </si>
  <si>
    <t>Policy Start Date</t>
  </si>
  <si>
    <t>Policy End Date</t>
  </si>
  <si>
    <t>Daughter</t>
  </si>
  <si>
    <t>Son</t>
  </si>
  <si>
    <t>Policy Status - Renewal</t>
  </si>
  <si>
    <t>SUM INSURED</t>
  </si>
  <si>
    <t>Ayurvedic &amp; Ayush Treatment Covered up to full family Sum Insured</t>
  </si>
  <si>
    <t>Self</t>
  </si>
  <si>
    <t>Spouse</t>
  </si>
  <si>
    <t>Age Band</t>
  </si>
  <si>
    <t>Expiring Employee's @ Inception
Expiring Dependent @ Inception</t>
  </si>
  <si>
    <t>Row Labels</t>
  </si>
  <si>
    <t>0-18</t>
  </si>
  <si>
    <t>19-22</t>
  </si>
  <si>
    <t>23-28</t>
  </si>
  <si>
    <t>29-35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</si>
  <si>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</si>
  <si>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</si>
  <si>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</si>
  <si>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</si>
  <si>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</si>
  <si>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</si>
  <si>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</si>
  <si>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</si>
  <si>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&gt;75</t>
  </si>
  <si>
    <t>Magma HDI General Insurance Co Ltd</t>
  </si>
  <si>
    <t>Maharashtra</t>
  </si>
  <si>
    <t>Wife</t>
  </si>
  <si>
    <t>Infectious gastroenteritis and colitis, unspecified</t>
  </si>
  <si>
    <t>Bangalore</t>
  </si>
  <si>
    <t>Karnataka</t>
  </si>
  <si>
    <t>Fissure and fistula of anal and rectal regions</t>
  </si>
  <si>
    <t>Dengue fever [classical dengue]</t>
  </si>
  <si>
    <t>Fever of other and unknown origin</t>
  </si>
  <si>
    <t>Age-related cataract</t>
  </si>
  <si>
    <t>Unspecified acute lower respiratory infection</t>
  </si>
  <si>
    <t>Pune</t>
  </si>
  <si>
    <t>JUPITER HOSPITAL</t>
  </si>
  <si>
    <t>AL Issued</t>
  </si>
  <si>
    <t>Abdominal and pelvic pain</t>
  </si>
  <si>
    <t>Dengue Fever</t>
  </si>
  <si>
    <t>Acute upper respiratory infections of multiple and unspecified sites</t>
  </si>
  <si>
    <t>Lasik surgery covered above +/- 7.5</t>
  </si>
  <si>
    <t>Ambulance Charges limited to Rs.3000 Per Person in case of emergency</t>
  </si>
  <si>
    <t>XYTEL INDIA PRIVATE LIMITED</t>
  </si>
  <si>
    <t>Bhosari</t>
  </si>
  <si>
    <t>MDIndia Health Insurance TPA Private Limited</t>
  </si>
  <si>
    <t>Pol no</t>
  </si>
  <si>
    <t>IC Name</t>
  </si>
  <si>
    <t>Corporate Name</t>
  </si>
  <si>
    <t>Claim No</t>
  </si>
  <si>
    <t>MDID</t>
  </si>
  <si>
    <t>Emp ID</t>
  </si>
  <si>
    <t>Patient Name</t>
  </si>
  <si>
    <t xml:space="preserve">DOB Age </t>
  </si>
  <si>
    <t>Relationship</t>
  </si>
  <si>
    <t>Claim Amount</t>
  </si>
  <si>
    <t>DOA</t>
  </si>
  <si>
    <t>DOD</t>
  </si>
  <si>
    <t>Liability Amt</t>
  </si>
  <si>
    <t>Hospital Name</t>
  </si>
  <si>
    <t>HOSP CITY</t>
  </si>
  <si>
    <t>HOSP STATE</t>
  </si>
  <si>
    <t>DISEASE CATEGORY</t>
  </si>
  <si>
    <t>Claim Type</t>
  </si>
  <si>
    <t>Claim Sub type</t>
  </si>
  <si>
    <t>Ailment Category</t>
  </si>
  <si>
    <t>Document Received Date</t>
  </si>
  <si>
    <t>Query Raised Date</t>
  </si>
  <si>
    <t>Query Received Date</t>
  </si>
  <si>
    <t xml:space="preserve">Claim Settled Date TPA </t>
  </si>
  <si>
    <t>Deduction</t>
  </si>
  <si>
    <t>Deduction Reason</t>
  </si>
  <si>
    <t>Claim Paid Date</t>
  </si>
  <si>
    <t>Cheque / NEFT Details</t>
  </si>
  <si>
    <t>CRS / Closure Reasons Claim Remark</t>
  </si>
  <si>
    <t>Rejection ADR reason</t>
  </si>
  <si>
    <t>Claim Status</t>
  </si>
  <si>
    <t>Claim Sub Status</t>
  </si>
  <si>
    <t>Last Document Recd.</t>
  </si>
  <si>
    <t>P0125200006/6115/100019</t>
  </si>
  <si>
    <t>Magma General Insurance Limited</t>
  </si>
  <si>
    <t>Xytel India Private Limited</t>
  </si>
  <si>
    <t>MDI8685638</t>
  </si>
  <si>
    <t>MDI5-0040577442</t>
  </si>
  <si>
    <t>11055</t>
  </si>
  <si>
    <t>MR RENU CHANDRAN</t>
  </si>
  <si>
    <t>MS SUBIDHA RENU</t>
  </si>
  <si>
    <t>30-06-2024</t>
  </si>
  <si>
    <t>08-07-2024</t>
  </si>
  <si>
    <t>Smd Multispeciality Hospital</t>
  </si>
  <si>
    <t>PUNE</t>
  </si>
  <si>
    <t>Non Cash Less</t>
  </si>
  <si>
    <t>27-07-2024</t>
  </si>
  <si>
    <t>30-07-2024</t>
  </si>
  <si>
    <t>09-08-2024</t>
  </si>
  <si>
    <t>26-08-2024</t>
  </si>
  <si>
    <t>Rs. 8000;as per reasonably and cutomary room+ nursing + rmo charegs are payable upto rs 2800 /- hence deduction done. Rs. 200;Calculation Error - Calculation error in totalling of all bills. Rs. 110;Non-medical expenses are not payable. - Easy Fix. Rs. 110;Non-medical expenses are not payable. - Easy Fix. Rs. 32;Non-medical expenses are not payable.syringe. Rs. 595;Non-medical expenses are not payable. - Nebulizer Mask. Rs. 8000;as per reasonably and cutomary room+ nursing + rmo charegs are payable upto rs 2800 /- hence deduction done. Rs. 5100;Administrative charges are not payable. Rs. 100;Registration charges are not payable.. Rs. 5600;as per reasonable and customary consultation charges  payable upto  500 / -per visit hence deduction of rs 5600 /-</t>
  </si>
  <si>
    <t>29-08-2024</t>
  </si>
  <si>
    <t>AXISCN0726533491</t>
  </si>
  <si>
    <t/>
  </si>
  <si>
    <t>PAID</t>
  </si>
  <si>
    <t>MDI8729908</t>
  </si>
  <si>
    <t>21-07-2024</t>
  </si>
  <si>
    <t>25-07-2024</t>
  </si>
  <si>
    <t>Medilife Multispeciality Hospital &amp; Icu</t>
  </si>
  <si>
    <t>Viral Fever With/dehydration</t>
  </si>
  <si>
    <t>Cash Less</t>
  </si>
  <si>
    <t>28-07-2024</t>
  </si>
  <si>
    <t>29-07-2024</t>
  </si>
  <si>
    <t>Rs. 1785;Non-medical expenses are not payable- INTRACATH / ALCOGRAX</t>
  </si>
  <si>
    <t>13-11-2024</t>
  </si>
  <si>
    <t>AXISCN0814291443</t>
  </si>
  <si>
    <t>MDI8685566</t>
  </si>
  <si>
    <t>Mr Renu Chandran</t>
  </si>
  <si>
    <t>02-07-2024</t>
  </si>
  <si>
    <t>SMD Hospital</t>
  </si>
  <si>
    <t>pune</t>
  </si>
  <si>
    <t xml:space="preserve">Fever </t>
  </si>
  <si>
    <t>CI Received</t>
  </si>
  <si>
    <t>03-07-2024</t>
  </si>
  <si>
    <t>MEDICLAIM| CLAIM REPUDIATED DATE :05/08/2024 AND REASON : THE CLAIM INTIMATION IS CLOSED ON  05/08/2024AS CLAIM DOCUMENT ARE NOT PROVIDED IN SPIT OF REMINDER AND NOTICE.</t>
  </si>
  <si>
    <t>REJECTED</t>
  </si>
  <si>
    <t>CLAIM INTIMATION CLOSED</t>
  </si>
  <si>
    <t>MDI8910915</t>
  </si>
  <si>
    <t>MDI5-0040577444</t>
  </si>
  <si>
    <t>11059</t>
  </si>
  <si>
    <t>MS REKHA R KAMATH</t>
  </si>
  <si>
    <t>MS NALINI S GAITONDE</t>
  </si>
  <si>
    <t>Mother</t>
  </si>
  <si>
    <t>04-10-2024</t>
  </si>
  <si>
    <t>06-10-2024</t>
  </si>
  <si>
    <t>Aster Rv Hospital</t>
  </si>
  <si>
    <t>Altered Sensorium</t>
  </si>
  <si>
    <t>Additional Payment</t>
  </si>
  <si>
    <t>Cerebral infarction</t>
  </si>
  <si>
    <t>06-11-2024</t>
  </si>
  <si>
    <t>07-11-2024</t>
  </si>
  <si>
    <t>11-11-2024</t>
  </si>
  <si>
    <t>12-11-2024</t>
  </si>
  <si>
    <t>Rs. 12262;as per cps remark. Rs. 167;as per cps remark</t>
  </si>
  <si>
    <t>AXISCN0814279974</t>
  </si>
  <si>
    <t>MDI8980881</t>
  </si>
  <si>
    <t>24-10-2024</t>
  </si>
  <si>
    <t>Gastro Hub Hospital</t>
  </si>
  <si>
    <t>MAHARASHTRA</t>
  </si>
  <si>
    <t>Abdomenal Pain</t>
  </si>
  <si>
    <t>09-11-2024</t>
  </si>
  <si>
    <t>25-11-2024</t>
  </si>
  <si>
    <t>Rs. 1740;Calculation Error - 1740 Charges mentioned only on claim form / check list, bill not available in claim documents</t>
  </si>
  <si>
    <t>13-12-2024</t>
  </si>
  <si>
    <t>AXISCN0849657714</t>
  </si>
  <si>
    <t>Deductions Payment</t>
  </si>
  <si>
    <t>29-12-2024</t>
  </si>
  <si>
    <t>AXISCN0869660105</t>
  </si>
  <si>
    <t>07-10-2024</t>
  </si>
  <si>
    <t>10-10-2024</t>
  </si>
  <si>
    <t>Rs. 4586;Other - Deduction - As per hospital requested amount 29263/-. Rs. 931;Non-medical expenses are not payable. - dressing / extension / Examination Gloves / Thermometer. Rs. 800;Infection control charges are not payable. Rs. 250;Registration charges are not payable.. Rs. 1000;Insurance Processing Charges Are Not Payable. Rs. 750;Food and other beverages charges are not payable.. Rs. 1000;Admission charges are not payable.. Rs. 350;DIET THERAPYcharges not payable</t>
  </si>
  <si>
    <t>OUTSTANDING</t>
  </si>
  <si>
    <t>SETTLED BUT PENDING FOR PAYMENT</t>
  </si>
  <si>
    <t>03-12-2024</t>
  </si>
  <si>
    <t>05-12-2024</t>
  </si>
  <si>
    <t>Rs. 444;CO-PAYMENT: 10% COpay - Claim submission-30 days  from  date of discharge ,</t>
  </si>
  <si>
    <t>24-12-2024</t>
  </si>
  <si>
    <t>AXISCN0864176665</t>
  </si>
  <si>
    <t>MDI9276337</t>
  </si>
  <si>
    <t>MDI5-0040577446</t>
  </si>
  <si>
    <t>11073</t>
  </si>
  <si>
    <t>MR JITENDRA V PANDITRAO</t>
  </si>
  <si>
    <t>MS ARCHANA J PANDITRAO</t>
  </si>
  <si>
    <t>08-03-2025</t>
  </si>
  <si>
    <t>Hcg Manavata Cancer Centre Unit 2</t>
  </si>
  <si>
    <t>Nashik</t>
  </si>
  <si>
    <t>Ca Breast</t>
  </si>
  <si>
    <t>Malignant neoplasm of breast</t>
  </si>
  <si>
    <t>26-03-2025</t>
  </si>
  <si>
    <t>04-04-2025</t>
  </si>
  <si>
    <t>Rs. 2220;As per SOC Rs.8487       Is payable for           .. Rs. 200;Admission charges are not payable.</t>
  </si>
  <si>
    <t>MDI9326329</t>
  </si>
  <si>
    <t>29-03-2025</t>
  </si>
  <si>
    <t>03-04-2025</t>
  </si>
  <si>
    <t>07-04-2025</t>
  </si>
  <si>
    <t>08-04-2025</t>
  </si>
  <si>
    <t>Rs. 972;Non-medical expenses are not payable. - Examination Gloves. Rs. 200;Admission charges are not payable.</t>
  </si>
  <si>
    <t>MDI9092853</t>
  </si>
  <si>
    <t>28-12-2024</t>
  </si>
  <si>
    <t>13-01-2025</t>
  </si>
  <si>
    <t>17-01-2025</t>
  </si>
  <si>
    <t>Rs. 7513;Non-medical expenses are not payable. - Nebulizer Kit / BALDE / Examination Gloves / VACCU SUCTION / URINE BAG / ROMOVAC SET / SHEET / HME FILTER / BANDAGE / CHEST LEAD / Camera Cover / MOP PAD / WIPES / Diaper Of Any Type / SWAB / Opsite / MOUTHWASH / Examination Gloves / WIPES / Diaper Of Any Type. Rs. 863;Non-medical expenses are not payable - Infusion Pump Charges. Rs. 2100;BMW (Bio medical Waste) charges are not payable.. Rs. 36000;PORTABLE HANDSHIELD IMAGER charges are not payable. Rs. 4547;As per SOC Surgeon Charges max payable Rs.28800/-. Rs. 5002;OT charges already paid hence OT assistant charges deduct. Rs. 276;GST charges are not payable. Rs. 200;Admission charges are not payable.</t>
  </si>
  <si>
    <t>05-02-2025</t>
  </si>
  <si>
    <t>AXISCN0908876406</t>
  </si>
  <si>
    <t>18-03-2025</t>
  </si>
  <si>
    <t>24-03-2025</t>
  </si>
  <si>
    <t>1. - Please provide the details of professional service charges Rs.90000/-,,,,its mandatory for settelement of the claim.</t>
  </si>
  <si>
    <t>Under ADR - Patient</t>
  </si>
  <si>
    <t>04-02-2025</t>
  </si>
  <si>
    <t>12-02-2025</t>
  </si>
  <si>
    <t>Rs. 3740;Any expenses incurred before 30 days of hospitalization (from date of admission) is not payable.. Rs. 90000;Other Charges Are Not Payable. Rs. 1220;Any expenses incurred before 30 days of hospitalization (from date of admission) is not payable.</t>
  </si>
  <si>
    <t>14-02-2025</t>
  </si>
  <si>
    <t>AXISCN0917759418</t>
  </si>
  <si>
    <t>MDI9224822</t>
  </si>
  <si>
    <t>15-02-2025</t>
  </si>
  <si>
    <t>18-02-2025</t>
  </si>
  <si>
    <t>22-02-2025</t>
  </si>
  <si>
    <t>Rs. 190;Admission charges are not payable.</t>
  </si>
  <si>
    <t>27-02-2025</t>
  </si>
  <si>
    <t>AXISCN0930473806</t>
  </si>
  <si>
    <t>MDI8655857</t>
  </si>
  <si>
    <t>MDI5-0040577448</t>
  </si>
  <si>
    <t>11077</t>
  </si>
  <si>
    <t>MR SUBODH PATWARDHAN</t>
  </si>
  <si>
    <t>MR MASTER NISHAD S PATWARDHAN</t>
  </si>
  <si>
    <t>20-06-2024</t>
  </si>
  <si>
    <t>21-06-2024</t>
  </si>
  <si>
    <t>Healing Hands Clinic</t>
  </si>
  <si>
    <t>Deep Anal Abscess In Sevre Pain</t>
  </si>
  <si>
    <t>Abscess of anal and rectal regions</t>
  </si>
  <si>
    <t>27-06-2024</t>
  </si>
  <si>
    <t>29-06-2024</t>
  </si>
  <si>
    <t>AXISCN0673022200</t>
  </si>
  <si>
    <t>MDI8615402</t>
  </si>
  <si>
    <t>MDI5-0040577449</t>
  </si>
  <si>
    <t>11080</t>
  </si>
  <si>
    <t>MR SHARAD JATHAR</t>
  </si>
  <si>
    <t>MR NAMDEO S JATHAR</t>
  </si>
  <si>
    <t>Father</t>
  </si>
  <si>
    <t>31-05-2024</t>
  </si>
  <si>
    <t>05-06-2024</t>
  </si>
  <si>
    <t>Lifeline Hospital</t>
  </si>
  <si>
    <t>Right Hemiplegia,ischemic Stroke, With Htn</t>
  </si>
  <si>
    <t>Hemiplegia and hemiparesis</t>
  </si>
  <si>
    <t>06-06-2024</t>
  </si>
  <si>
    <t>12-06-2024</t>
  </si>
  <si>
    <t>Rs. 1320;Non-medical expenses are not payable. - FLAMIGRIP / FLAMIGRIP / IV SET / INTRACATH / VEINOLINE. Rs. 500;Registration charges are not payable.</t>
  </si>
  <si>
    <t>14-06-2024</t>
  </si>
  <si>
    <t>AXISCN0650804139</t>
  </si>
  <si>
    <t>MDI8633454</t>
  </si>
  <si>
    <t>MDI5-0040577450</t>
  </si>
  <si>
    <t>11081</t>
  </si>
  <si>
    <t>MR DATTATRAY NAGAWADE</t>
  </si>
  <si>
    <t>MS CHHAYA R NAGAWADE</t>
  </si>
  <si>
    <t>09-06-2024</t>
  </si>
  <si>
    <t>Manipal Hospital Pvt. Ltd</t>
  </si>
  <si>
    <t>S/p Left Lap Nephrectomy, Voluntary Kidney Donor To Son</t>
  </si>
  <si>
    <t>Chronic kidney disease (CKD)</t>
  </si>
  <si>
    <t>18-06-2024</t>
  </si>
  <si>
    <t>24-06-2024</t>
  </si>
  <si>
    <t>Rs. 1725;Admission charges are not payable.. Rs. 36244;As per SOC Package surgical treatment charges are payable upto Rs 63756</t>
  </si>
  <si>
    <t>14-08-2024</t>
  </si>
  <si>
    <t>AXISCN0712051884</t>
  </si>
  <si>
    <t>MDI9347891</t>
  </si>
  <si>
    <t>MDI5-0040577451</t>
  </si>
  <si>
    <t>11083</t>
  </si>
  <si>
    <t>MR MILIND RAMESHPANT KATKAR</t>
  </si>
  <si>
    <t>MR RAMESHPANT K KATKAR</t>
  </si>
  <si>
    <t>05-04-2025</t>
  </si>
  <si>
    <t>Sanjeevan Multispeciality Hospital &amp; Research Institute</t>
  </si>
  <si>
    <t>Yavatmal</t>
  </si>
  <si>
    <t>Dcmp/ Afi/ Acute Cve With Lrti</t>
  </si>
  <si>
    <t>10-04-2025</t>
  </si>
  <si>
    <t>11-04-2025</t>
  </si>
  <si>
    <t>MDI8941526</t>
  </si>
  <si>
    <t>MDI5-0040577455</t>
  </si>
  <si>
    <t>11092</t>
  </si>
  <si>
    <t>MR NILESH PURUSHOTTAM PATIL</t>
  </si>
  <si>
    <t>MS INDUBAI PURUSHOTTAM PATIL</t>
  </si>
  <si>
    <t>18-10-2024</t>
  </si>
  <si>
    <t>21-10-2024</t>
  </si>
  <si>
    <t>Jupiter Hospital</t>
  </si>
  <si>
    <t>Acute Infective Enteritis</t>
  </si>
  <si>
    <t>29-10-2024</t>
  </si>
  <si>
    <t>30-10-2024</t>
  </si>
  <si>
    <t>Rs. 5011;Non-medical expenses are not payable. - Easy Fix / EXTENTION / Vascofix / Easy Fix / VAS / Handrub. Rs. 1400;Dietician charges are not payable.. Rs. 600;As per SOC Package Room + Nursing Charges payable RS 1800/- per day. Rs. 540;Admission charges are not payable.. Rs. 890;Non-medical expenses are not payable. - Medical Records. Rs. 1050;Non-medical expenses are not payable. - Medical Records. Rs. 520;Processing Charges Are Not Payable</t>
  </si>
  <si>
    <t>21-11-2024</t>
  </si>
  <si>
    <t>CB0063368624</t>
  </si>
  <si>
    <t>MDI8940396</t>
  </si>
  <si>
    <t>19-10-2024</t>
  </si>
  <si>
    <t>Loose mosion</t>
  </si>
  <si>
    <t>MEDICLAIM| CLAIM REPUDIATED DATE :19/10/2024 AND REASON : THE CLAIM INTIMATION IS CLOSED ON  19/10/2024AS CLAIM DOCUMENT ARE NOT PROVIDED IN SPIT OF REMINDER AND NOTICE.</t>
  </si>
  <si>
    <t>MDI9070527</t>
  </si>
  <si>
    <t>MR PURUSHOTTAM NAMDEO PATIL</t>
  </si>
  <si>
    <t>30-11-2024</t>
  </si>
  <si>
    <t>Dr D Y Patil Medical College Hospital &amp; Research Centre</t>
  </si>
  <si>
    <t>Gastric Outlet Obstruction</t>
  </si>
  <si>
    <t>Other diseases of stomach and duodenum</t>
  </si>
  <si>
    <t>18-12-2024</t>
  </si>
  <si>
    <t>16-01-2025</t>
  </si>
  <si>
    <t>Rs. 34136;BSI Exhausted - Balance Sum Insured Exhausted for the year. Rs. 792;Non-medical expenses are not payable. - Powder. Rs. 11283;Detailed breakup of charges not provided.. Rs. 1163;Non-medical expenses are not payable. - Dynaplast / VACCU SUCK / Abdominal. Rs. 990;Non-medical expenses are not payable. - Abdominal Belt. Rs. 3400;Details of  ward medicines not available.. Rs. 200;Administrative charges are not payable</t>
  </si>
  <si>
    <t>20-01-2025</t>
  </si>
  <si>
    <t>AXISCN0893207574</t>
  </si>
  <si>
    <t>MDI8877211</t>
  </si>
  <si>
    <t>19-09-2024</t>
  </si>
  <si>
    <t>24-09-2024</t>
  </si>
  <si>
    <t>Polaris Health Care</t>
  </si>
  <si>
    <t>Osteoarthritis Of  Bilateral Knee</t>
  </si>
  <si>
    <t>Osteoarthritis of knee</t>
  </si>
  <si>
    <t>31-10-2024</t>
  </si>
  <si>
    <t>22-11-2024</t>
  </si>
  <si>
    <t>Rs. 45043;CO-PAYMENT (DELAY/INTIMATION) : 10% COpay - Claim submission-30 days  from  date of discharge ,. Rs. 14692;implant handling charges are not payable. Rs. 2500;RMO/medical attendant / duty doctor charges are not payable.. Rs. 1500;Any expenses incurred before 30 days of hospitalization (from date of admission) is not payable.. Rs. 2022;Any expenses incurred before 30 days of hospitalization (from date of admission) is not payable.. Rs. 17594;Non-medical expenses are not payable. - SHEET / Examination Gloves / Cautery Pencil / GAMJEE / Bandage / Bandage / Soft Roll / Bandage / Sterillium / SAVLON / Ioban / CAP / Face Mask / Ecg Lead / Drape / Gown / Drape / Skin Stapler / Flamigrip / SPONGEE / Diaper Of Any Type / Examination Gloves. Rs. 1262;Non-medical expenses are not payable. - FLAMIGRIP / WASH / Diaper Of Any Type / Examination Gloves. Rs. 999;Non-medical expenses are not payable. - Powder. Rs. 1000;Non-medical expenses are not payable.syringe pump charges are  not payable. Rs. 300;Non-medical expenses are not payable. - Medical Records. Rs. 1000;BMW (Bio medical Waste) charges are not payable.. Rs. 200;Registration charges are not payable.. Rs. 2183;Administrative charges are not payable. Rs. 2000;Skin Stapler Non Medical charges not payable. Rs. 500;Non-medical expenses are not payable.cathetor. Rs. 700;Any expenses incurred before 30 days of hospitalization (from date of admission) is not payable.</t>
  </si>
  <si>
    <t>16-12-2024</t>
  </si>
  <si>
    <t>AXISCN0853519659</t>
  </si>
  <si>
    <t>MDI9305065</t>
  </si>
  <si>
    <t>MDI5-0040577457</t>
  </si>
  <si>
    <t>11103</t>
  </si>
  <si>
    <t>MR SAGAR WALE</t>
  </si>
  <si>
    <t>25-03-2025</t>
  </si>
  <si>
    <t>30-03-2025</t>
  </si>
  <si>
    <t>Deenanath Mangeshkar Hospital &amp; Research Centre</t>
  </si>
  <si>
    <t>Renal Mass</t>
  </si>
  <si>
    <t>Other aneurysm</t>
  </si>
  <si>
    <t>Rs. 1799;Non-medical expenses are not payable. - EXTENON / Apron / Ecg Electrodes / Drape / Examination Gloves / Tip Cleaner / Ecg Electrodes / Hme Filter / Urometer Urine Jug / Crepe Bandage / Drape / KIT / EXTENON / CATH MOUNT / PLATE / EXTESNON / Spirometer / Dressing Bag / Opsite / Opsite. Rs. 990;Sterilization Charges Are Not Payable. Rs. 100;BMW (Bio medical Waste) charges are not payable.. Rs. 450;Other charges are not payable- Dressing</t>
  </si>
  <si>
    <t>MDI9105959</t>
  </si>
  <si>
    <t>MDI5-0040577459</t>
  </si>
  <si>
    <t>11105</t>
  </si>
  <si>
    <t>MS SWAPNA ARUN PATIL</t>
  </si>
  <si>
    <t>MR SHRAVAN PANDIT PATIL</t>
  </si>
  <si>
    <t>Father In Law</t>
  </si>
  <si>
    <t>23-12-2024</t>
  </si>
  <si>
    <t>Natasha Eye Care &amp; Research Center</t>
  </si>
  <si>
    <t>Both Eye Cataract</t>
  </si>
  <si>
    <t>04-01-2025</t>
  </si>
  <si>
    <t>09-01-2025</t>
  </si>
  <si>
    <t>10-01-2025</t>
  </si>
  <si>
    <t>Rs. 13064;Illness Capping : As Per Policy Terms &amp; Conditions, Left Eye Cataract + Right Eye Cataract maximum payable @ INR 70000/- only. Rs. 1936;batch no and expiry date not available</t>
  </si>
  <si>
    <t>21-01-2025</t>
  </si>
  <si>
    <t>AXISCN0894034458</t>
  </si>
  <si>
    <t>MDI8728465</t>
  </si>
  <si>
    <t>MDI5-0040577465</t>
  </si>
  <si>
    <t>11115</t>
  </si>
  <si>
    <t>MS JYOTI VISHAL SHEKHAR</t>
  </si>
  <si>
    <t>MR PRAMOD SUMANT SHEKHAR</t>
  </si>
  <si>
    <t>18-07-2024</t>
  </si>
  <si>
    <t>22-07-2024</t>
  </si>
  <si>
    <t>Niramaya Hospital</t>
  </si>
  <si>
    <t>Age With Urinary Track Infection With Viral Fever</t>
  </si>
  <si>
    <t>02-08-2024</t>
  </si>
  <si>
    <t>05-08-2024</t>
  </si>
  <si>
    <t>06-08-2024</t>
  </si>
  <si>
    <t>Rs. 9104;Non-medical expenses are not payable. - Tina Bed / Examination Gloves / Tina Bed / TOWEL / Tina Bed / Examination Gloves / Tina Bed / Examination Gloves / Diaper Of Any Type / SWAB / TOWEL / Tina Bed / Examination Gloves / Urine Container. Rs. 5000;As per SOC Package room charges are payable rs 3500/- per day. Rs. 1000;Administrative charges are not payable</t>
  </si>
  <si>
    <t>30-09-2024</t>
  </si>
  <si>
    <t>AXISCN0760083188</t>
  </si>
  <si>
    <t>MDI8980507</t>
  </si>
  <si>
    <t>MDI5-0040577466</t>
  </si>
  <si>
    <t>11116</t>
  </si>
  <si>
    <t>MR RAMESH RAMDAS SHELKE</t>
  </si>
  <si>
    <t>MS HIRABAI RAMDAS SHELKE</t>
  </si>
  <si>
    <t>Ruby Ailcare Services Pvt Ltd</t>
  </si>
  <si>
    <t>Secere Arotic Stenosis</t>
  </si>
  <si>
    <t>Rheumatic aortic valve diseases</t>
  </si>
  <si>
    <t>20-11-2024</t>
  </si>
  <si>
    <t>23-11-2024</t>
  </si>
  <si>
    <t>Rs. 763;Non-medical expenses are not payable. - Nebulizer Mask/bill pharmy not given 193/-. Rs. 700;Other Charges Are Not Payable/Emergency call</t>
  </si>
  <si>
    <t>AXISCN0864189003</t>
  </si>
  <si>
    <t>MDI9185364</t>
  </si>
  <si>
    <t>MR RAMDAS SHANKAR SHELKE</t>
  </si>
  <si>
    <t>06-02-2025</t>
  </si>
  <si>
    <t>Dr Agarwal Eye Hospital</t>
  </si>
  <si>
    <t>Retinal Oedema</t>
  </si>
  <si>
    <t>Other retinal disorders</t>
  </si>
  <si>
    <t>17-02-2025</t>
  </si>
  <si>
    <t>AXISCN0948829611</t>
  </si>
  <si>
    <t>MDI8951556</t>
  </si>
  <si>
    <t>23-10-2024</t>
  </si>
  <si>
    <t>25-10-2024</t>
  </si>
  <si>
    <t>Dyspnea</t>
  </si>
  <si>
    <t>Respiratory failure, not elsewhere classified</t>
  </si>
  <si>
    <t>09-12-2024</t>
  </si>
  <si>
    <t>Rs. 486;Non-medical expenses are not payable. - Examination Gloves / Discofix. Rs. 2100;Monitor charges are not payable</t>
  </si>
  <si>
    <t>AXISCN0864139862</t>
  </si>
  <si>
    <t>MDI9351554</t>
  </si>
  <si>
    <t>MDI5-0040577472</t>
  </si>
  <si>
    <t>11123</t>
  </si>
  <si>
    <t>MR SATISH DASHRATH CHOUDHARI</t>
  </si>
  <si>
    <t>Mrs Madhuri Satish Choudhari</t>
  </si>
  <si>
    <t>14-04-2025</t>
  </si>
  <si>
    <t>Care Speciality Hospital</t>
  </si>
  <si>
    <t xml:space="preserve">CA BREAST </t>
  </si>
  <si>
    <t>AL ISSUED BUT DOCUMENT NOT RECEIVED</t>
  </si>
  <si>
    <t>MDI8835696</t>
  </si>
  <si>
    <t>MDI5-0040577474</t>
  </si>
  <si>
    <t>11031</t>
  </si>
  <si>
    <t>MR SADASHIV B SHINDE</t>
  </si>
  <si>
    <t>MS RANJANA BHAGWAT SHINDE</t>
  </si>
  <si>
    <t>18-08-2024</t>
  </si>
  <si>
    <t>25-08-2024</t>
  </si>
  <si>
    <t>Lokmanya Hospital</t>
  </si>
  <si>
    <t>Bilateral Osteoarthritis Of Knee</t>
  </si>
  <si>
    <t>06-09-2024</t>
  </si>
  <si>
    <t>09-09-2024</t>
  </si>
  <si>
    <t>Rs. 2200;Calculation Error - 2200 Charges mentioned only on claim form / check list, bill not available in claim documents. Rs. 2524;Non-medical expenses are not payable. - VASOFIX / D-PROTITAS POWDER / COTTON / GAUZE SWAB / BANDAGE / ROLLER BANDAGE / VASOFIX / DISCOFIX. Rs. 3300;Other charges are not payable.- dvt pump. Rs. 500;Other charges are not payable.- syringe pump. Rs. 8098;Administrative charges are not payable. Rs. 250;Registration charges are not payable.. Rs. 330;Glucostrips expenses are not payable.. Rs. 500;Bmw Charges Are Not Payable. Rs. 1550;Blood Grouping and Cross matching charges Not payable. Rs. 200;Non-medical expenses are not payable. - Medical Records. Rs. 14000;Assistant doctor charges are not payable for current surgery.</t>
  </si>
  <si>
    <t>28-10-2024</t>
  </si>
  <si>
    <t>AXISCN0794201702</t>
  </si>
  <si>
    <t>MDI9086034</t>
  </si>
  <si>
    <t>MDI5-0040577477</t>
  </si>
  <si>
    <t>11127</t>
  </si>
  <si>
    <t>NILESH SAPKAL</t>
  </si>
  <si>
    <t>NIRMALA NILESH SAPKAL</t>
  </si>
  <si>
    <t>11-12-2024</t>
  </si>
  <si>
    <t>Kedar Hospital</t>
  </si>
  <si>
    <t>Age With Mod Dehydration With Febrile Illness</t>
  </si>
  <si>
    <t>08-01-2025</t>
  </si>
  <si>
    <t>Rs. 1100;Details of IV charges / IV fluids are not available.. Rs. 600;Detailed breakup of charges not provided.. Rs. 600;intracath charges not payable</t>
  </si>
  <si>
    <t>AXISCN0890439581</t>
  </si>
  <si>
    <t>MDI9286114</t>
  </si>
  <si>
    <t>MDI5-0040577485</t>
  </si>
  <si>
    <t>11034</t>
  </si>
  <si>
    <t>MR RAJEEV M HALLUR</t>
  </si>
  <si>
    <t>14-03-2025</t>
  </si>
  <si>
    <t>15-03-2025</t>
  </si>
  <si>
    <t>Ruby Hall Wanowarie</t>
  </si>
  <si>
    <t>Fistula In Ano</t>
  </si>
  <si>
    <t>22-03-2025</t>
  </si>
  <si>
    <t>27-03-2025</t>
  </si>
  <si>
    <t>Rs. 2987;Non-medical expenses are not payable. - Lancet Charges / Examination Gloves / Gauze / Wet Wipes / Underpad / EXTN / Drape / Ecg Electrodes / FIXOMULL / Gauze / Soft Roll / VACCU SET / PENCIL / Gown. Rs. 1000;as per SOC max rs 7875/- par day is payable for the room + nursing charges. Rs. 300;Attendent charges are not payable. Rs. 1500;MONITER CHARGES NOT PAYBLE. Rs. 900;Surcharges are not payable. Rs. 1000;anesthesist charges are not payable</t>
  </si>
  <si>
    <t>MDI8835750</t>
  </si>
  <si>
    <t>MDI5-0040577487</t>
  </si>
  <si>
    <t>11136</t>
  </si>
  <si>
    <t>MRS DIPALI DHAGE</t>
  </si>
  <si>
    <t>Mrs Mandakini More</t>
  </si>
  <si>
    <t>16-08-2024</t>
  </si>
  <si>
    <t>KHYADE MAHAMUNI HOSPITAL</t>
  </si>
  <si>
    <t>OMERGA</t>
  </si>
  <si>
    <t>Viral Upper Respiratory Tract Infection</t>
  </si>
  <si>
    <t>09-10-2024</t>
  </si>
  <si>
    <t>Rs. 750;Pathology Reports Not signed by Post Graduate Qualification in Pathology. Rs. 500;Admission charges are not payable.</t>
  </si>
  <si>
    <t>11-10-2024</t>
  </si>
  <si>
    <t>AXISCN0773203144</t>
  </si>
  <si>
    <t>MDI9191321</t>
  </si>
  <si>
    <t>MDI5-0040577493</t>
  </si>
  <si>
    <t>12006</t>
  </si>
  <si>
    <t>MR SUSHIL GANGA PRASAD SINGH</t>
  </si>
  <si>
    <t>MR SURAJ SUSHIL SINGH</t>
  </si>
  <si>
    <t>01-02-2025</t>
  </si>
  <si>
    <t>Icon Hospital</t>
  </si>
  <si>
    <t>Enteric Fever With Sever Dehydration</t>
  </si>
  <si>
    <t>08-02-2025</t>
  </si>
  <si>
    <t>10-02-2025</t>
  </si>
  <si>
    <t>13-02-2025</t>
  </si>
  <si>
    <t>Rs. 608;Administrative charges are not payable. Rs. 200;Registration charges are not payable.</t>
  </si>
  <si>
    <t>26-02-2025</t>
  </si>
  <si>
    <t>AXISCN0931323213</t>
  </si>
  <si>
    <t>MDI8630964</t>
  </si>
  <si>
    <t>MDI5-0040577495</t>
  </si>
  <si>
    <t>12034</t>
  </si>
  <si>
    <t>MR PRANAB KUMAR DEY</t>
  </si>
  <si>
    <t>08-06-2024</t>
  </si>
  <si>
    <t>11-06-2024</t>
  </si>
  <si>
    <t>Dengue +ve</t>
  </si>
  <si>
    <t>19-06-2024</t>
  </si>
  <si>
    <t>Rs. 907;Non-medical expenses are not payable. - intracath / syrup / intracath / syrup. Rs. 200;Registration charges are not payable.. Rs. 1074;Administrative charges are not payable</t>
  </si>
  <si>
    <t>10-07-2024</t>
  </si>
  <si>
    <t>AXISCN0675161176</t>
  </si>
  <si>
    <t>MDI9024028</t>
  </si>
  <si>
    <t>MDI5-0040577500</t>
  </si>
  <si>
    <t>11053</t>
  </si>
  <si>
    <t>MR SANDEEP S KAKADE</t>
  </si>
  <si>
    <t>MR MASTER SIDDESH S KAKADE</t>
  </si>
  <si>
    <t>27-11-2024</t>
  </si>
  <si>
    <t>Ayush Multispeciality Hospital</t>
  </si>
  <si>
    <t>Rta With Head Injury With Foot Injury</t>
  </si>
  <si>
    <t>Other headache syndromes</t>
  </si>
  <si>
    <t>22-01-2025</t>
  </si>
  <si>
    <t>Rs. 2000;O2/gases charges are not payable. Rs. 2000;O2/gases charges are not payable. Rs. 800;Catheter charges are not payable. Rs. 4000;RMO/medical attendant / duty doctor charges are not payable.. Rs. 1000;RMO/medical attendant / duty doctor charges are not payable.. Rs. 300;Non-medical expenses are not payable. - POWDER. Rs. 490;Non-medical expenses are not payable. - COTTON / Examination Gloves / gamjee roll. Rs. 120;Non-medical expenses are not payable. - BANDAGE. Rs. 150;Non-medical expenses are not payable. - ECG LEADE. Rs. 862;Non-medical expenses are not payable. - Examination Gloves / COTTON / Easy Fix / sterillium / sticking. Rs. 320;Non-medical expenses are not payable. - Examination Gloves / COTTON. Rs. 620;Non-medical expenses are not payable. - Cotton Roll / SOFT ROLL / gamjee roll. Rs. 600;Non-medical expenses are not payable. - gamjee roll / soft roll. Rs. 110;Non-medical expenses are not payable. - DIAPER. Rs. 3000;Detailed breakup of charges not provided.. Rs. 1000;medical euipment charges not pay. Rs. 500;Registration charges are not payable.. Rs. 750;BMW (Bio medical Waste) charges are not payable.</t>
  </si>
  <si>
    <t>27-01-2025</t>
  </si>
  <si>
    <t>AXISCN0899555830</t>
  </si>
  <si>
    <t>MDI9200727</t>
  </si>
  <si>
    <t>07-02-2025</t>
  </si>
  <si>
    <t>AYUSH MULTISPECIALITY HOSPITAL</t>
  </si>
  <si>
    <t>Left Foot Multiple Fracture Of Phalynx,metacarpel Dislocation With K Wire Fixation(now Admitted For K Wire Removal)</t>
  </si>
  <si>
    <t>Fracture of foot and toe, except ankle</t>
  </si>
  <si>
    <t>19-02-2025</t>
  </si>
  <si>
    <t>21-02-2025</t>
  </si>
  <si>
    <t>Rs. 4000;Calculation Error - Calculation error in totalling of all bills. Rs. 420;Non-medical expenses are not payable. - PAD / Bandage. Rs. 414;Non-medical expenses are not payable. - PAD / Bandage. Rs. 640;Non-medical expenses are not payable. - Examination Gloves / Easy Fix. Rs. 788;Non-medical expenses are not payable. - Face Mask / Plain Sheet / Sterillium / Bandage / CAP. Rs. 755;Any expenses incurred before 30 days of hospitalization (from date of admission) is not payable.. Rs. 200;Any expenses incurred before 30 days of hospitalization (from date of admission) is not payable.. Rs. 800;Any expenses incurred before 30 days of hospitalization (from date of admission) is not payable.. Rs. 1000;RMO/medical attendant / duty doctor charges are not payable.</t>
  </si>
  <si>
    <t>24-02-2025</t>
  </si>
  <si>
    <t>AXISCN0927860165</t>
  </si>
  <si>
    <t>MDI9048906</t>
  </si>
  <si>
    <t>Mr Sandeep S Kakade</t>
  </si>
  <si>
    <t>06-12-2024</t>
  </si>
  <si>
    <t>07-12-2024</t>
  </si>
  <si>
    <t>Joshi Hospital</t>
  </si>
  <si>
    <t xml:space="preserve">LEFT KNEE OA </t>
  </si>
  <si>
    <t>RAL Lodged</t>
  </si>
  <si>
    <t>04-12-2024</t>
  </si>
  <si>
    <t>MEDICLAIM| CLAIM REPUDIATED DATE : 04/12/2024 AND REASON : The cashless hospitalization is denied as procedure does  not require 24 hours hospitalization and as the said procedure is not mentioned under the list of Day Care procedure.</t>
  </si>
  <si>
    <t xml:space="preserve">The cashless hospitalization is denied as procedure does  not require 24 hours hospitalization and as the said procedure is not mentioned under the list of Day Care procedure.
</t>
  </si>
  <si>
    <t>AUTHORISATION DENIAL</t>
  </si>
  <si>
    <t>MDI8758088</t>
  </si>
  <si>
    <t>MDI5-0040577501</t>
  </si>
  <si>
    <t>11054</t>
  </si>
  <si>
    <t>MR SANJAY DHAMAPURKAR</t>
  </si>
  <si>
    <t>MS RUKMINI V DHAMAPURKAR</t>
  </si>
  <si>
    <t>04-08-2024</t>
  </si>
  <si>
    <t>DR RAJAN HOSPITAL</t>
  </si>
  <si>
    <t>KUDAL</t>
  </si>
  <si>
    <t>Right Hemiplegia (thrombolysed) ,alzhemier</t>
  </si>
  <si>
    <t>24-08-2024</t>
  </si>
  <si>
    <t>30-08-2024</t>
  </si>
  <si>
    <t>31-08-2024</t>
  </si>
  <si>
    <t>Rs. 2800;Investigation Reports  available.but film not availbale. Rs. 2240;Calculation Error - 2240 Charges mentioned only on claim form / check list, bill not available in claim documents. Rs. 400;Investigation Reports not available.cbc. Rs. 50;Pathology Reports Not signed by Post Graduate Qualification in Pathology. Rs. 250;ECG reports are not available.. Rs. 2800;ct scan film not available hence related charges are not payable.. Rs. 300;Registration charges are not payable.</t>
  </si>
  <si>
    <t>02-09-2024</t>
  </si>
  <si>
    <t>AXISCN0731141630</t>
  </si>
  <si>
    <t>25-09-2024</t>
  </si>
  <si>
    <t>28-09-2024</t>
  </si>
  <si>
    <t>AXISCN0759000113</t>
  </si>
  <si>
    <t>MDI9125059</t>
  </si>
  <si>
    <t>MDI5-0041069783</t>
  </si>
  <si>
    <t>11145</t>
  </si>
  <si>
    <t>Mr Aniket Bipinchandra Naik</t>
  </si>
  <si>
    <t>Bipinchandra Naik</t>
  </si>
  <si>
    <t>05-01-2025</t>
  </si>
  <si>
    <t>PARVATI NETRALAYA</t>
  </si>
  <si>
    <t>Cataract Right Eye</t>
  </si>
  <si>
    <t>11-01-2025</t>
  </si>
  <si>
    <t>Rs. 19835;Illness Capping : As Per Policy Terms &amp; Conditions, Right Eye Cataract maximum payable @ INR 35000/- only. Rs. 5500;Microscope Charges not payable</t>
  </si>
  <si>
    <t>AXISCN0894026910</t>
  </si>
  <si>
    <t>11003</t>
  </si>
  <si>
    <t>11005</t>
  </si>
  <si>
    <t>11022</t>
  </si>
  <si>
    <t>11047</t>
  </si>
  <si>
    <t>11050</t>
  </si>
  <si>
    <t>11058</t>
  </si>
  <si>
    <t>11065</t>
  </si>
  <si>
    <t>11074</t>
  </si>
  <si>
    <t>11085</t>
  </si>
  <si>
    <t>11098</t>
  </si>
  <si>
    <t>11104</t>
  </si>
  <si>
    <t>11108</t>
  </si>
  <si>
    <t>11111</t>
  </si>
  <si>
    <t>11112</t>
  </si>
  <si>
    <t>11117</t>
  </si>
  <si>
    <t>11118</t>
  </si>
  <si>
    <t>11119</t>
  </si>
  <si>
    <t>11120</t>
  </si>
  <si>
    <t>11122</t>
  </si>
  <si>
    <t>11124</t>
  </si>
  <si>
    <t>11125</t>
  </si>
  <si>
    <t>11126</t>
  </si>
  <si>
    <t>11128</t>
  </si>
  <si>
    <t>11129</t>
  </si>
  <si>
    <t>11131</t>
  </si>
  <si>
    <t>11134</t>
  </si>
  <si>
    <t>11135</t>
  </si>
  <si>
    <t>11137</t>
  </si>
  <si>
    <t>11138</t>
  </si>
  <si>
    <t>12003</t>
  </si>
  <si>
    <t>12004</t>
  </si>
  <si>
    <t>12005</t>
  </si>
  <si>
    <t>12009</t>
  </si>
  <si>
    <t>13000</t>
  </si>
  <si>
    <t>14004</t>
  </si>
  <si>
    <t>11139</t>
  </si>
  <si>
    <t>11140</t>
  </si>
  <si>
    <t>11141</t>
  </si>
  <si>
    <t>11130</t>
  </si>
  <si>
    <t>11132</t>
  </si>
  <si>
    <t>11142</t>
  </si>
  <si>
    <t>11143</t>
  </si>
  <si>
    <t>11144</t>
  </si>
  <si>
    <t>11146</t>
  </si>
  <si>
    <t>11147</t>
  </si>
  <si>
    <t>11148</t>
  </si>
  <si>
    <t>11149</t>
  </si>
  <si>
    <t>Husband</t>
  </si>
  <si>
    <t>Doughter</t>
  </si>
  <si>
    <t>24/05/1972</t>
  </si>
  <si>
    <t>14/08/2001</t>
  </si>
  <si>
    <t>06/01/1969</t>
  </si>
  <si>
    <t>11/01/1974</t>
  </si>
  <si>
    <t>25/10/1993</t>
  </si>
  <si>
    <t>30/12/1999</t>
  </si>
  <si>
    <t>24/08/1970</t>
  </si>
  <si>
    <t>05/03/1967</t>
  </si>
  <si>
    <t>07/03/1995</t>
  </si>
  <si>
    <t>22/12/2001</t>
  </si>
  <si>
    <t>23/03/1972</t>
  </si>
  <si>
    <t>26/12/1979</t>
  </si>
  <si>
    <t>21/05/1998</t>
  </si>
  <si>
    <t>21/03/2000</t>
  </si>
  <si>
    <t>13/01/1970</t>
  </si>
  <si>
    <t>11/12/1975</t>
  </si>
  <si>
    <t>13/04/2009</t>
  </si>
  <si>
    <t>28/10/2000</t>
  </si>
  <si>
    <t>29/05/1978</t>
  </si>
  <si>
    <t>01/06/1982</t>
  </si>
  <si>
    <t>25/07/2006</t>
  </si>
  <si>
    <t>14/11/2009</t>
  </si>
  <si>
    <t>23/11/1967</t>
  </si>
  <si>
    <t>14/06/1975</t>
  </si>
  <si>
    <t>10/12/2001</t>
  </si>
  <si>
    <t>04/12/1976</t>
  </si>
  <si>
    <t>27/10/1977</t>
  </si>
  <si>
    <t>08/03/2001</t>
  </si>
  <si>
    <t>17/03/1971</t>
  </si>
  <si>
    <t>11/01/1978</t>
  </si>
  <si>
    <t>15/09/2008</t>
  </si>
  <si>
    <t>21/02/1978</t>
  </si>
  <si>
    <t>05/01/2006</t>
  </si>
  <si>
    <t>09/07/1969</t>
  </si>
  <si>
    <t>24/10/1969</t>
  </si>
  <si>
    <t>25/04/1998</t>
  </si>
  <si>
    <t>20/03/1970</t>
  </si>
  <si>
    <t>15/01/1962</t>
  </si>
  <si>
    <t>23/02/1998</t>
  </si>
  <si>
    <t>19/02/1980</t>
  </si>
  <si>
    <t>01/04/1985</t>
  </si>
  <si>
    <t>27/11/2019</t>
  </si>
  <si>
    <t>20/09/1971</t>
  </si>
  <si>
    <t>26/12/1975</t>
  </si>
  <si>
    <t>12/06/2000</t>
  </si>
  <si>
    <t>14/05/2005</t>
  </si>
  <si>
    <t>19/12/1979</t>
  </si>
  <si>
    <t>01/04/1984</t>
  </si>
  <si>
    <t>01/10/2016</t>
  </si>
  <si>
    <t>22/09/2010</t>
  </si>
  <si>
    <t>29/12/1968</t>
  </si>
  <si>
    <t>22/10/1973</t>
  </si>
  <si>
    <t>25/08/1999</t>
  </si>
  <si>
    <t>13/11/1986</t>
  </si>
  <si>
    <t>14/11/1993</t>
  </si>
  <si>
    <t>18/03/2013</t>
  </si>
  <si>
    <t>08/03/2015</t>
  </si>
  <si>
    <t>11/09/1985</t>
  </si>
  <si>
    <t>20/05/1986</t>
  </si>
  <si>
    <t>04/08/2015</t>
  </si>
  <si>
    <t>07/08/2012</t>
  </si>
  <si>
    <t>15/07/1979</t>
  </si>
  <si>
    <t>22/10/1986</t>
  </si>
  <si>
    <t>12/07/1974</t>
  </si>
  <si>
    <t>03/06/1980</t>
  </si>
  <si>
    <t>20/03/2002</t>
  </si>
  <si>
    <t>14/10/2006</t>
  </si>
  <si>
    <t>01/04/1986</t>
  </si>
  <si>
    <t>07/10/1988</t>
  </si>
  <si>
    <t>23/06/2015</t>
  </si>
  <si>
    <t>15/10/1986</t>
  </si>
  <si>
    <t>08/09/1991</t>
  </si>
  <si>
    <t>19/10/2015</t>
  </si>
  <si>
    <t>01/06/2021</t>
  </si>
  <si>
    <t>23/03/1967</t>
  </si>
  <si>
    <t>13/01/2005</t>
  </si>
  <si>
    <t>23/02/1989</t>
  </si>
  <si>
    <t>13/10/1983</t>
  </si>
  <si>
    <t>04/11/2015</t>
  </si>
  <si>
    <t>10/10/2017</t>
  </si>
  <si>
    <t>31/07/1981</t>
  </si>
  <si>
    <t>23/04/1982</t>
  </si>
  <si>
    <t>30/11/2008</t>
  </si>
  <si>
    <t>10/01/1991</t>
  </si>
  <si>
    <t>03/07/1995</t>
  </si>
  <si>
    <t>14/05/1994</t>
  </si>
  <si>
    <t>09/08/1998</t>
  </si>
  <si>
    <t>14/11/1980</t>
  </si>
  <si>
    <t>11/03/1978</t>
  </si>
  <si>
    <t>30/07/2006</t>
  </si>
  <si>
    <t>09/10/1974</t>
  </si>
  <si>
    <t>08/07/1981</t>
  </si>
  <si>
    <t>16/10/2003</t>
  </si>
  <si>
    <t>30/10/2007</t>
  </si>
  <si>
    <t>03/11/1980</t>
  </si>
  <si>
    <t>04/04/1978</t>
  </si>
  <si>
    <t>28/03/2012</t>
  </si>
  <si>
    <t>12/07/1996</t>
  </si>
  <si>
    <t>05/06/2001</t>
  </si>
  <si>
    <t>16/02/1994</t>
  </si>
  <si>
    <t>11/04/1991</t>
  </si>
  <si>
    <t>04/01/1980</t>
  </si>
  <si>
    <t>13/04/2019</t>
  </si>
  <si>
    <t>21/11/1974</t>
  </si>
  <si>
    <t>06/04/1982</t>
  </si>
  <si>
    <t>23/03/2008</t>
  </si>
  <si>
    <t>20/01/2003</t>
  </si>
  <si>
    <t>16/11/1997</t>
  </si>
  <si>
    <t>06/01/1992</t>
  </si>
  <si>
    <t>05/10/1994</t>
  </si>
  <si>
    <t>07/05/2001</t>
  </si>
  <si>
    <t>04/12/1984</t>
  </si>
  <si>
    <t>05/06/1985</t>
  </si>
  <si>
    <t>17/12/2020</t>
  </si>
  <si>
    <t>09/12/1999</t>
  </si>
  <si>
    <t>29/05/2001</t>
  </si>
  <si>
    <t>10/02/1996</t>
  </si>
  <si>
    <t>01/09/2002</t>
  </si>
  <si>
    <t>19/04/2002</t>
  </si>
  <si>
    <t>20/04/1989</t>
  </si>
  <si>
    <t>24/10/1987</t>
  </si>
  <si>
    <t>06/03/2001</t>
  </si>
  <si>
    <t>10/03/1972</t>
  </si>
  <si>
    <t>05/04/1983</t>
  </si>
  <si>
    <t>08/09/1977</t>
  </si>
  <si>
    <t>21/03/1982</t>
  </si>
  <si>
    <t>21/10/1998</t>
  </si>
  <si>
    <t>28/08/2004</t>
  </si>
  <si>
    <t>02/06/1985</t>
  </si>
  <si>
    <t>13/01/1981</t>
  </si>
  <si>
    <t>01/06/1989</t>
  </si>
  <si>
    <t>14/05/2013</t>
  </si>
  <si>
    <t>06/08/2011</t>
  </si>
  <si>
    <t>13/04/1988</t>
  </si>
  <si>
    <t>18/04/1997</t>
  </si>
  <si>
    <t>19/04/2017</t>
  </si>
  <si>
    <t>16/12/2021</t>
  </si>
  <si>
    <t>04/01/1984</t>
  </si>
  <si>
    <t>04/05/1995</t>
  </si>
  <si>
    <t>27/06/2018</t>
  </si>
  <si>
    <t>25/06/1996</t>
  </si>
  <si>
    <t>18/08/2022</t>
  </si>
  <si>
    <t>21/04/1998</t>
  </si>
  <si>
    <t>20/05/1990</t>
  </si>
  <si>
    <t>14/03/1999</t>
  </si>
  <si>
    <t>05/07/2010</t>
  </si>
  <si>
    <t>01/03/1969</t>
  </si>
  <si>
    <t>04/10/1996</t>
  </si>
  <si>
    <t>13/01/2004</t>
  </si>
  <si>
    <t>10/07/1967</t>
  </si>
  <si>
    <t>12/11/2001</t>
  </si>
  <si>
    <t>20/08/2000</t>
  </si>
  <si>
    <t>02/11/2001</t>
  </si>
  <si>
    <t>13/08/1999</t>
  </si>
  <si>
    <t>05/01/1998</t>
  </si>
  <si>
    <t>12/10/1988</t>
  </si>
  <si>
    <t>16/03/1991</t>
  </si>
  <si>
    <t>04/09/2014</t>
  </si>
  <si>
    <t>11/11/2020</t>
  </si>
  <si>
    <t>500000</t>
  </si>
  <si>
    <t>Restricted to Sum Insured - 3 Lakhs &amp; 5 Lakhs - 2% of the Sum Insured for Regularhospitalization and 4% Room Rent for ICU
HospitalizationSum Insured - 7.5 Lakhs - Maximum Rs.10,000/- for Regular hospitalization and Rs.20,000/- forICU Hospitalization(Room rent
limit incl. of nursing charges). In case of admission in normal room, if insured is admitted in a higher category, then insured will bear difference
of all associated medical expenses as in final hospital bill in same proportion.</t>
  </si>
  <si>
    <t>300000</t>
  </si>
  <si>
    <t>Sum Insured of Rs.-,-,-,,-,,-,-,-,300000,-,-,-,500000,-,-,-,- Per family during the policy period of one year</t>
  </si>
  <si>
    <t>For Normal Rs.50,000, C section Rs.70,000 subject to First 2 children.</t>
  </si>
  <si>
    <t xml:space="preserve"> Psychiatric ailments Policy also covers hospitalization arising out of Psychiatric ailments within a limit of Rs. 30,000 as well as treatment of Functional Endoscopic Sinus Surgery within a limit of Rs. 35,000. The coverage for treatment of mental illness is also covered upto Rs 30000 within the sum insured.ORAL CHEMOTHERAPHY Covered Rs.45,000/- On IPD basis.ANY ANIMAL / SERPENT ATTACK RESULTING IN TREATMENT ON INPATIENT OROUT
PATIENT BASIS PAYABLE UP TO RS.5,000/- IF IT RESULTS IN HOSPITALIZATION LESS THAN 24 HOURS Covered for all.Dependent Child means
a child (natural or legally adopted) who is financially dependent anddoes not have his or her independent source of income and not over 30
years</t>
  </si>
  <si>
    <t>Employee, spouse, 2 children up to the age of 25 years</t>
  </si>
  <si>
    <t>Caims paid + Os  (as on 15-April-2025.)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</si>
</sst>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#,##0.000"/>
    <numFmt numFmtId="166" formatCode="dd/mmm/yyyy"/>
    <numFmt numFmtId="167" formatCode="[$-14009]dd\-mm\-yyyy;@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indexed="9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0"/>
      <color theme="1"/>
      <name val="Helv"/>
      <charset val="134"/>
    </font>
    <font>
      <sz val="10"/>
      <color rgb="FF000000"/>
      <name val="Calibri"/>
      <charset val="134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rgb="FF000000"/>
      <name val="Cambria"/>
      <family val="1"/>
    </font>
    <font>
      <b/>
      <sz val="11"/>
      <color theme="1"/>
      <name val="Calibri"/>
      <family val="2"/>
      <scheme val="minor"/>
    </font>
    <font>
      <sz val="10"/>
      <color rgb="FFFFFFFF"/>
      <name val="Tahoma"/>
    </font>
    <font>
      <sz val="10"/>
      <color rgb="FF000000"/>
      <name val="Tahom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37"/>
      </patternFill>
    </fill>
    <fill>
      <patternFill patternType="solid">
        <fgColor indexed="9"/>
        <bgColor indexed="26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522D"/>
        <bgColor rgb="FFA0522D"/>
      </patternFill>
    </fill>
  </fills>
  <borders count="4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8">
    <xf numFmtId="0" fontId="0" fillId="0" borderId="0"/>
    <xf numFmtId="0" fontId="11" fillId="0" borderId="0">
      <alignment vertical="center"/>
    </xf>
    <xf numFmtId="0" fontId="12" fillId="0" borderId="0"/>
    <xf numFmtId="0" fontId="13" fillId="0" borderId="0">
      <protection locked="0"/>
    </xf>
    <xf numFmtId="0" fontId="14" fillId="0" borderId="0"/>
    <xf numFmtId="0" fontId="3" fillId="0" borderId="0"/>
    <xf numFmtId="0" fontId="2" fillId="0" borderId="0"/>
    <xf numFmtId="9" fontId="17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6" xfId="0" applyBorder="1" applyAlignment="1">
      <alignment horizontal="left" vertical="center"/>
    </xf>
    <xf numFmtId="0" fontId="6" fillId="0" borderId="15" xfId="2" applyFont="1" applyBorder="1" applyAlignment="1" applyProtection="1">
      <alignment horizontal="left" vertical="center"/>
      <protection locked="0"/>
    </xf>
    <xf numFmtId="37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10" fillId="3" borderId="10" xfId="2" applyFont="1" applyFill="1" applyBorder="1" applyAlignment="1" applyProtection="1">
      <alignment horizontal="center" vertical="center"/>
      <protection locked="0"/>
    </xf>
    <xf numFmtId="0" fontId="6" fillId="3" borderId="21" xfId="2" applyFont="1" applyFill="1" applyBorder="1" applyAlignment="1" applyProtection="1">
      <alignment horizontal="center" vertical="center" wrapText="1"/>
      <protection locked="0"/>
    </xf>
    <xf numFmtId="0" fontId="8" fillId="3" borderId="21" xfId="2" applyFont="1" applyFill="1" applyBorder="1" applyAlignment="1" applyProtection="1">
      <alignment horizontal="center" vertical="center" wrapText="1"/>
      <protection locked="0"/>
    </xf>
    <xf numFmtId="0" fontId="6" fillId="3" borderId="24" xfId="2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Alignment="1">
      <alignment vertical="center"/>
    </xf>
    <xf numFmtId="0" fontId="0" fillId="0" borderId="11" xfId="0" applyBorder="1" applyAlignment="1">
      <alignment vertical="center"/>
    </xf>
    <xf numFmtId="164" fontId="0" fillId="0" borderId="26" xfId="0" applyNumberFormat="1" applyBorder="1" applyAlignment="1">
      <alignment vertical="center"/>
    </xf>
    <xf numFmtId="164" fontId="0" fillId="0" borderId="27" xfId="0" applyNumberFormat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164" fontId="4" fillId="5" borderId="5" xfId="0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" fontId="15" fillId="0" borderId="6" xfId="0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166" fontId="16" fillId="0" borderId="0" xfId="0" applyNumberFormat="1" applyFont="1" applyAlignment="1">
      <alignment horizontal="left" vertical="top"/>
    </xf>
    <xf numFmtId="1" fontId="16" fillId="0" borderId="0" xfId="0" applyNumberFormat="1" applyFont="1" applyAlignment="1">
      <alignment horizontal="left" vertical="top"/>
    </xf>
    <xf numFmtId="0" fontId="7" fillId="3" borderId="13" xfId="2" applyFont="1" applyFill="1" applyBorder="1" applyAlignment="1" applyProtection="1">
      <alignment horizontal="left" vertical="center"/>
      <protection locked="0"/>
    </xf>
    <xf numFmtId="0" fontId="8" fillId="0" borderId="6" xfId="2" applyFont="1" applyBorder="1" applyAlignment="1" applyProtection="1">
      <alignment horizontal="left" vertical="center"/>
      <protection locked="0"/>
    </xf>
    <xf numFmtId="0" fontId="9" fillId="4" borderId="4" xfId="2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>
      <alignment vertical="center" wrapText="1"/>
    </xf>
    <xf numFmtId="0" fontId="4" fillId="5" borderId="29" xfId="0" applyFont="1" applyFill="1" applyBorder="1" applyAlignment="1">
      <alignment vertical="center" wrapText="1"/>
    </xf>
    <xf numFmtId="0" fontId="9" fillId="4" borderId="1" xfId="2" applyFont="1" applyFill="1" applyBorder="1" applyAlignment="1" applyProtection="1">
      <alignment horizontal="center" vertical="center" wrapText="1"/>
      <protection locked="0"/>
    </xf>
    <xf numFmtId="0" fontId="6" fillId="3" borderId="25" xfId="2" applyFont="1" applyFill="1" applyBorder="1" applyAlignment="1" applyProtection="1">
      <alignment horizontal="center" vertical="center" wrapText="1"/>
      <protection locked="0"/>
    </xf>
    <xf numFmtId="9" fontId="0" fillId="0" borderId="0" xfId="7" applyFont="1" applyFill="1" applyAlignment="1">
      <alignment vertical="center"/>
    </xf>
    <xf numFmtId="4" fontId="6" fillId="0" borderId="15" xfId="2" applyNumberFormat="1" applyFont="1" applyBorder="1" applyAlignment="1" applyProtection="1">
      <alignment horizontal="left" vertical="center"/>
      <protection locked="0"/>
    </xf>
    <xf numFmtId="10" fontId="6" fillId="0" borderId="15" xfId="2" applyNumberFormat="1" applyFont="1" applyBorder="1" applyAlignment="1" applyProtection="1">
      <alignment horizontal="left" vertical="center"/>
      <protection locked="0"/>
    </xf>
    <xf numFmtId="0" fontId="7" fillId="3" borderId="14" xfId="2" applyFont="1" applyFill="1" applyBorder="1" applyAlignment="1" applyProtection="1">
      <alignment horizontal="left" vertical="center"/>
      <protection locked="0"/>
    </xf>
    <xf numFmtId="0" fontId="6" fillId="0" borderId="15" xfId="2" applyFont="1" applyBorder="1" applyAlignment="1" applyProtection="1">
      <alignment horizontal="left" vertical="center" wrapText="1"/>
      <protection locked="0"/>
    </xf>
    <xf numFmtId="0" fontId="0" fillId="0" borderId="0" xfId="0" pivotButton="1"/>
    <xf numFmtId="4" fontId="0" fillId="0" borderId="0" xfId="0" applyNumberFormat="1" applyAlignment="1">
      <alignment vertical="center"/>
    </xf>
    <xf numFmtId="15" fontId="0" fillId="0" borderId="6" xfId="0" applyNumberFormat="1" applyBorder="1" applyAlignment="1">
      <alignment horizontal="left" vertical="center"/>
    </xf>
    <xf numFmtId="1" fontId="18" fillId="0" borderId="6" xfId="0" applyNumberFormat="1" applyFont="1" applyBorder="1" applyAlignment="1">
      <alignment horizontal="center" vertical="center" wrapText="1"/>
    </xf>
    <xf numFmtId="167" fontId="6" fillId="0" borderId="15" xfId="2" applyNumberFormat="1" applyFont="1" applyBorder="1" applyAlignment="1" applyProtection="1">
      <alignment horizontal="left" vertical="center"/>
      <protection locked="0"/>
    </xf>
    <xf numFmtId="0" fontId="4" fillId="5" borderId="33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164" fontId="0" fillId="0" borderId="39" xfId="0" applyNumberFormat="1" applyBorder="1" applyAlignment="1">
      <alignment vertical="center"/>
    </xf>
    <xf numFmtId="164" fontId="4" fillId="5" borderId="2" xfId="0" applyNumberFormat="1" applyFont="1" applyFill="1" applyBorder="1" applyAlignment="1">
      <alignment vertical="center"/>
    </xf>
    <xf numFmtId="0" fontId="10" fillId="3" borderId="40" xfId="2" applyFont="1" applyFill="1" applyBorder="1" applyAlignment="1" applyProtection="1">
      <alignment horizontal="center" vertical="center"/>
      <protection locked="0"/>
    </xf>
    <xf numFmtId="0" fontId="10" fillId="3" borderId="41" xfId="2" applyFont="1" applyFill="1" applyBorder="1" applyAlignment="1" applyProtection="1">
      <alignment horizontal="center" vertical="center"/>
      <protection locked="0"/>
    </xf>
    <xf numFmtId="0" fontId="10" fillId="3" borderId="28" xfId="2" applyFont="1" applyFill="1" applyBorder="1" applyAlignment="1" applyProtection="1">
      <alignment horizontal="center" vertical="center"/>
      <protection locked="0"/>
    </xf>
    <xf numFmtId="0" fontId="15" fillId="0" borderId="6" xfId="0" applyFont="1" applyBorder="1" applyAlignment="1">
      <alignment horizontal="center" vertical="top"/>
    </xf>
    <xf numFmtId="166" fontId="15" fillId="0" borderId="6" xfId="0" applyNumberFormat="1" applyFont="1" applyBorder="1" applyAlignment="1">
      <alignment horizontal="center" vertical="top"/>
    </xf>
    <xf numFmtId="1" fontId="15" fillId="0" borderId="6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15" fillId="0" borderId="36" xfId="0" applyFont="1" applyBorder="1" applyAlignment="1">
      <alignment horizontal="left" vertical="top"/>
    </xf>
    <xf numFmtId="0" fontId="19" fillId="0" borderId="46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top"/>
    </xf>
    <xf numFmtId="0" fontId="19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top"/>
    </xf>
    <xf numFmtId="0" fontId="19" fillId="0" borderId="24" xfId="0" applyFont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top"/>
    </xf>
    <xf numFmtId="0" fontId="21" fillId="0" borderId="47" xfId="0" applyFont="1" applyBorder="1" applyAlignment="1">
      <alignment vertical="top"/>
    </xf>
    <xf numFmtId="0" fontId="21" fillId="0" borderId="47" xfId="0" applyFont="1" applyBorder="1" applyAlignment="1">
      <alignment horizontal="center" vertical="top"/>
    </xf>
    <xf numFmtId="0" fontId="21" fillId="0" borderId="47" xfId="0" applyFont="1" applyBorder="1" applyAlignment="1">
      <alignment horizontal="left" vertical="top"/>
    </xf>
    <xf numFmtId="1" fontId="1" fillId="0" borderId="6" xfId="0" applyNumberFormat="1" applyFont="1" applyBorder="1" applyAlignment="1">
      <alignment horizontal="center"/>
    </xf>
    <xf numFmtId="1" fontId="22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6" xfId="5" applyFont="1" applyBorder="1" applyAlignment="1">
      <alignment horizontal="center"/>
    </xf>
    <xf numFmtId="0" fontId="1" fillId="0" borderId="6" xfId="5" applyFont="1" applyBorder="1" applyAlignment="1">
      <alignment horizontal="center" vertical="center"/>
    </xf>
    <xf numFmtId="49" fontId="23" fillId="6" borderId="6" xfId="0" applyNumberFormat="1" applyFont="1" applyFill="1" applyBorder="1" applyAlignment="1">
      <alignment horizontal="center" vertical="center" wrapText="1"/>
    </xf>
    <xf numFmtId="14" fontId="24" fillId="0" borderId="6" xfId="0" applyNumberFormat="1" applyFont="1" applyBorder="1" applyAlignment="1">
      <alignment horizontal="center" vertical="center"/>
    </xf>
    <xf numFmtId="0" fontId="10" fillId="7" borderId="13" xfId="2" applyFont="1" applyFill="1" applyBorder="1" applyAlignment="1" applyProtection="1">
      <alignment horizontal="center" vertical="center" wrapText="1"/>
      <protection locked="0"/>
    </xf>
    <xf numFmtId="0" fontId="10" fillId="7" borderId="17" xfId="2" applyFont="1" applyFill="1" applyBorder="1" applyAlignment="1" applyProtection="1">
      <alignment horizontal="center" vertical="center" wrapText="1"/>
      <protection locked="0"/>
    </xf>
    <xf numFmtId="0" fontId="10" fillId="7" borderId="34" xfId="2" applyFont="1" applyFill="1" applyBorder="1" applyAlignment="1" applyProtection="1">
      <alignment horizontal="center" vertical="center" wrapText="1"/>
      <protection locked="0"/>
    </xf>
    <xf numFmtId="0" fontId="22" fillId="7" borderId="13" xfId="2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0" fillId="0" borderId="13" xfId="2" applyFont="1" applyBorder="1" applyAlignment="1" applyProtection="1">
      <alignment horizontal="center" vertical="center" wrapText="1"/>
      <protection locked="0"/>
    </xf>
    <xf numFmtId="0" fontId="10" fillId="0" borderId="17" xfId="2" applyFont="1" applyBorder="1" applyAlignment="1" applyProtection="1">
      <alignment horizontal="center" vertical="center" wrapText="1"/>
      <protection locked="0"/>
    </xf>
    <xf numFmtId="0" fontId="0" fillId="7" borderId="13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10" fillId="0" borderId="13" xfId="2" applyFont="1" applyBorder="1" applyAlignment="1" applyProtection="1">
      <alignment horizontal="center" vertical="center"/>
      <protection locked="0"/>
    </xf>
    <xf numFmtId="0" fontId="10" fillId="0" borderId="17" xfId="2" applyFont="1" applyBorder="1" applyAlignment="1" applyProtection="1">
      <alignment horizontal="center" vertical="center"/>
      <protection locked="0"/>
    </xf>
    <xf numFmtId="0" fontId="7" fillId="0" borderId="13" xfId="2" applyFont="1" applyBorder="1" applyAlignment="1" applyProtection="1">
      <alignment horizontal="center" vertical="center" wrapText="1"/>
      <protection locked="0"/>
    </xf>
    <xf numFmtId="0" fontId="7" fillId="0" borderId="17" xfId="2" applyFont="1" applyBorder="1" applyAlignment="1" applyProtection="1">
      <alignment horizontal="center" vertical="center" wrapText="1"/>
      <protection locked="0"/>
    </xf>
    <xf numFmtId="0" fontId="22" fillId="0" borderId="13" xfId="2" applyFont="1" applyBorder="1" applyAlignment="1" applyProtection="1">
      <alignment horizontal="center" vertical="center" wrapText="1"/>
      <protection locked="0"/>
    </xf>
    <xf numFmtId="0" fontId="9" fillId="4" borderId="4" xfId="2" applyFont="1" applyFill="1" applyBorder="1" applyAlignment="1" applyProtection="1">
      <alignment horizontal="center" vertical="center"/>
      <protection locked="0"/>
    </xf>
    <xf numFmtId="0" fontId="9" fillId="4" borderId="5" xfId="2" applyFont="1" applyFill="1" applyBorder="1" applyAlignment="1" applyProtection="1">
      <alignment horizontal="center" vertical="center"/>
      <protection locked="0"/>
    </xf>
    <xf numFmtId="0" fontId="22" fillId="0" borderId="36" xfId="2" applyFont="1" applyBorder="1" applyAlignment="1" applyProtection="1">
      <alignment horizontal="center" vertical="center" wrapText="1"/>
      <protection locked="0"/>
    </xf>
    <xf numFmtId="0" fontId="10" fillId="0" borderId="37" xfId="2" applyFont="1" applyBorder="1" applyAlignment="1" applyProtection="1">
      <alignment horizontal="center" vertical="center" wrapText="1"/>
      <protection locked="0"/>
    </xf>
    <xf numFmtId="0" fontId="10" fillId="0" borderId="38" xfId="2" applyFont="1" applyBorder="1" applyAlignment="1" applyProtection="1">
      <alignment horizontal="center" vertical="center" wrapText="1"/>
      <protection locked="0"/>
    </xf>
    <xf numFmtId="0" fontId="10" fillId="0" borderId="34" xfId="2" applyFont="1" applyBorder="1" applyAlignment="1" applyProtection="1">
      <alignment horizontal="center" vertical="center" wrapText="1"/>
      <protection locked="0"/>
    </xf>
    <xf numFmtId="0" fontId="7" fillId="3" borderId="13" xfId="2" applyFont="1" applyFill="1" applyBorder="1" applyAlignment="1" applyProtection="1">
      <alignment horizontal="left" vertical="center"/>
      <protection locked="0"/>
    </xf>
    <xf numFmtId="0" fontId="7" fillId="3" borderId="14" xfId="2" applyFont="1" applyFill="1" applyBorder="1" applyAlignment="1" applyProtection="1">
      <alignment horizontal="left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8" xfId="2" applyFont="1" applyBorder="1" applyAlignment="1" applyProtection="1">
      <alignment horizontal="left" vertical="center"/>
      <protection hidden="1"/>
    </xf>
    <xf numFmtId="0" fontId="6" fillId="0" borderId="19" xfId="2" applyFont="1" applyBorder="1" applyAlignment="1" applyProtection="1">
      <alignment horizontal="left" vertical="center"/>
      <protection hidden="1"/>
    </xf>
    <xf numFmtId="0" fontId="6" fillId="0" borderId="20" xfId="2" applyFont="1" applyBorder="1" applyAlignment="1" applyProtection="1">
      <alignment horizontal="left" vertical="center"/>
      <protection hidden="1"/>
    </xf>
    <xf numFmtId="0" fontId="7" fillId="3" borderId="4" xfId="2" applyFont="1" applyFill="1" applyBorder="1" applyAlignment="1" applyProtection="1">
      <alignment horizontal="center" vertical="center" wrapText="1"/>
      <protection locked="0"/>
    </xf>
    <xf numFmtId="0" fontId="7" fillId="3" borderId="5" xfId="2" applyFont="1" applyFill="1" applyBorder="1" applyAlignment="1" applyProtection="1">
      <alignment horizontal="center" vertical="center" wrapText="1"/>
      <protection locked="0"/>
    </xf>
    <xf numFmtId="0" fontId="7" fillId="3" borderId="2" xfId="2" applyFont="1" applyFill="1" applyBorder="1" applyAlignment="1" applyProtection="1">
      <alignment horizontal="center" vertical="center" wrapText="1"/>
      <protection locked="0"/>
    </xf>
    <xf numFmtId="0" fontId="7" fillId="3" borderId="30" xfId="2" applyFont="1" applyFill="1" applyBorder="1" applyAlignment="1" applyProtection="1">
      <alignment horizontal="center" vertical="center"/>
      <protection locked="0"/>
    </xf>
    <xf numFmtId="0" fontId="7" fillId="3" borderId="31" xfId="2" applyFont="1" applyFill="1" applyBorder="1" applyAlignment="1" applyProtection="1">
      <alignment horizontal="center" vertical="center"/>
      <protection locked="0"/>
    </xf>
    <xf numFmtId="0" fontId="7" fillId="3" borderId="32" xfId="2" applyFont="1" applyFill="1" applyBorder="1" applyAlignment="1" applyProtection="1">
      <alignment horizontal="center" vertical="center"/>
      <protection locked="0"/>
    </xf>
    <xf numFmtId="0" fontId="6" fillId="0" borderId="16" xfId="2" applyFont="1" applyBorder="1" applyAlignment="1" applyProtection="1">
      <alignment horizontal="center" vertical="center"/>
      <protection hidden="1"/>
    </xf>
    <xf numFmtId="0" fontId="6" fillId="0" borderId="6" xfId="2" applyFont="1" applyBorder="1" applyAlignment="1" applyProtection="1">
      <alignment horizontal="center" vertical="center"/>
      <protection hidden="1"/>
    </xf>
    <xf numFmtId="0" fontId="6" fillId="0" borderId="15" xfId="2" applyFont="1" applyBorder="1" applyAlignment="1" applyProtection="1">
      <alignment horizontal="center" vertical="center"/>
      <protection hidden="1"/>
    </xf>
    <xf numFmtId="0" fontId="7" fillId="3" borderId="42" xfId="2" applyFont="1" applyFill="1" applyBorder="1" applyAlignment="1" applyProtection="1">
      <alignment horizontal="center" vertical="center" wrapText="1"/>
      <protection locked="0"/>
    </xf>
    <xf numFmtId="0" fontId="7" fillId="3" borderId="43" xfId="2" applyFont="1" applyFill="1" applyBorder="1" applyAlignment="1" applyProtection="1">
      <alignment horizontal="center" vertical="center"/>
      <protection locked="0"/>
    </xf>
    <xf numFmtId="0" fontId="7" fillId="3" borderId="10" xfId="2" applyFont="1" applyFill="1" applyBorder="1" applyAlignment="1" applyProtection="1">
      <alignment horizontal="center" vertical="center"/>
      <protection locked="0"/>
    </xf>
    <xf numFmtId="0" fontId="7" fillId="3" borderId="44" xfId="2" applyFont="1" applyFill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5" fillId="2" borderId="7" xfId="2" applyFont="1" applyFill="1" applyBorder="1" applyAlignment="1" applyProtection="1">
      <alignment horizontal="center" vertical="center"/>
      <protection hidden="1"/>
    </xf>
    <xf numFmtId="0" fontId="5" fillId="2" borderId="8" xfId="2" applyFont="1" applyFill="1" applyBorder="1" applyAlignment="1" applyProtection="1">
      <alignment horizontal="center" vertical="center"/>
      <protection hidden="1"/>
    </xf>
    <xf numFmtId="0" fontId="5" fillId="2" borderId="9" xfId="2" applyFont="1" applyFill="1" applyBorder="1" applyAlignment="1" applyProtection="1">
      <alignment horizontal="center" vertical="center"/>
      <protection hidden="1"/>
    </xf>
    <xf numFmtId="0" fontId="6" fillId="0" borderId="10" xfId="2" applyFont="1" applyBorder="1" applyAlignment="1" applyProtection="1">
      <alignment horizontal="center" vertical="center"/>
      <protection hidden="1"/>
    </xf>
    <xf numFmtId="0" fontId="6" fillId="0" borderId="11" xfId="2" applyFont="1" applyBorder="1" applyAlignment="1" applyProtection="1">
      <alignment horizontal="center" vertical="center"/>
      <protection hidden="1"/>
    </xf>
    <xf numFmtId="0" fontId="6" fillId="0" borderId="12" xfId="2" applyFont="1" applyBorder="1" applyAlignment="1" applyProtection="1">
      <alignment horizontal="center" vertical="center"/>
      <protection hidden="1"/>
    </xf>
    <xf numFmtId="0" fontId="7" fillId="3" borderId="13" xfId="2" applyFont="1" applyFill="1" applyBorder="1" applyAlignment="1" applyProtection="1">
      <alignment horizontal="center" vertical="center"/>
      <protection locked="0"/>
    </xf>
    <xf numFmtId="0" fontId="7" fillId="3" borderId="14" xfId="2" applyFont="1" applyFill="1" applyBorder="1" applyAlignment="1" applyProtection="1">
      <alignment horizontal="center" vertical="center"/>
      <protection locked="0"/>
    </xf>
    <xf numFmtId="0" fontId="7" fillId="3" borderId="35" xfId="2" applyFont="1" applyFill="1" applyBorder="1" applyAlignment="1" applyProtection="1">
      <alignment horizontal="center" vertical="center" wrapText="1"/>
      <protection locked="0"/>
    </xf>
    <xf numFmtId="0" fontId="7" fillId="3" borderId="17" xfId="2" applyFont="1" applyFill="1" applyBorder="1" applyAlignment="1" applyProtection="1">
      <alignment horizontal="center" vertical="center" wrapText="1"/>
      <protection locked="0"/>
    </xf>
    <xf numFmtId="0" fontId="7" fillId="3" borderId="34" xfId="2" applyFont="1" applyFill="1" applyBorder="1" applyAlignment="1" applyProtection="1">
      <alignment horizontal="center" vertical="center" wrapText="1"/>
      <protection locked="0"/>
    </xf>
    <xf numFmtId="0" fontId="7" fillId="3" borderId="6" xfId="2" applyFont="1" applyFill="1" applyBorder="1" applyAlignment="1" applyProtection="1">
      <alignment horizontal="center" vertical="center" wrapText="1"/>
      <protection locked="0"/>
    </xf>
    <xf numFmtId="0" fontId="7" fillId="3" borderId="15" xfId="2" applyFont="1" applyFill="1" applyBorder="1" applyAlignment="1" applyProtection="1">
      <alignment horizontal="center" vertical="center" wrapText="1"/>
      <protection locked="0"/>
    </xf>
  </cellXfs>
  <cellStyles count="8">
    <cellStyle name="%" xfId="1" xr:uid="{00000000-0005-0000-0000-000000000000}"/>
    <cellStyle name="Normal" xfId="0" builtinId="0"/>
    <cellStyle name="Normal 2" xfId="4" xr:uid="{00000000-0005-0000-0000-000002000000}"/>
    <cellStyle name="Normal 2 2" xfId="5" xr:uid="{00000000-0005-0000-0000-000003000000}"/>
    <cellStyle name="Normal 2 2 36" xfId="6" xr:uid="{00000000-0005-0000-0000-000004000000}"/>
    <cellStyle name="Normal 3" xfId="2" xr:uid="{00000000-0005-0000-0000-000005000000}"/>
    <cellStyle name="Percent" xfId="7" builtinId="5"/>
    <cellStyle name="Style 1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38100</xdr:rowOff>
    </xdr:from>
    <xdr:to>
      <xdr:col>2</xdr:col>
      <xdr:colOff>49530</xdr:colOff>
      <xdr:row>1</xdr:row>
      <xdr:rowOff>586105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231775"/>
          <a:ext cx="1019810" cy="5480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posals/Maxis%20Motion%20GMC/GMC%2024-25%20xlsx%20%20RFQ%20Maxis%20Motion%20Pvt%20L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Data"/>
      <sheetName val="GMC Employee RFQ "/>
      <sheetName val="Demo"/>
      <sheetName val="MIS"/>
    </sheetNames>
    <sheetDataSet>
      <sheetData sheetId="0">
        <row r="2">
          <cell r="F2">
            <v>36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64.630805208333" createdVersion="8" refreshedVersion="8" minRefreshableVersion="3" recordCount="261" xr:uid="{937FCACE-AA8F-4552-927B-2A930FE82DEE}">
  <cacheSource type="worksheet">
    <worksheetSource ref="A1:I166" sheet="Employee Data"/>
  </cacheSource>
  <cacheFields count="9">
    <cacheField name="Emp Number" numFmtId="0">
      <sharedItems/>
    </cacheField>
    <cacheField name="Member Name" numFmtId="0">
      <sharedItems containsNonDate="0" containsString="0" containsBlank="1"/>
    </cacheField>
    <cacheField name="Relation" numFmtId="0">
      <sharedItems/>
    </cacheField>
    <cacheField name="Employee Name" numFmtId="0">
      <sharedItems containsNonDate="0" containsString="0" containsBlank="1"/>
    </cacheField>
    <cacheField name="Date of Birth (DD-MMM-YYYY)" numFmtId="0">
      <sharedItems containsDate="1" containsMixedTypes="1" minDate="1957-06-01T00:00:00" maxDate="2024-11-13T00:00:00"/>
    </cacheField>
    <cacheField name="Age" numFmtId="0">
      <sharedItems containsSemiMixedTypes="0" containsString="0" containsNumber="1" containsInteger="1" minValue="0" maxValue="89"/>
    </cacheField>
    <cacheField name="Age Band" numFmtId="1">
      <sharedItems count="13">
        <s v="56-60"/>
        <s v="36-40"/>
        <s v="23-28"/>
        <s v="51-55"/>
        <s v="29-35"/>
        <s v="&gt;75"/>
        <s v="41-45"/>
        <s v="71-75"/>
        <s v="46-50"/>
        <s v="0-18"/>
        <s v="66-70"/>
        <s v="19-22"/>
        <s v="61-65"/>
      </sharedItems>
    </cacheField>
    <cacheField name="Gender" numFmtId="0">
      <sharedItems/>
    </cacheField>
    <cacheField name="SUM INSURED" numFmtId="0">
      <sharedItems count="1">
        <s v="50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s v="11003"/>
    <m/>
    <s v="Self"/>
    <m/>
    <s v="10/07/1967"/>
    <n v="57"/>
    <x v="0"/>
    <s v="Male"/>
    <x v="0"/>
  </r>
  <r>
    <s v="11003"/>
    <m/>
    <s v="Wife"/>
    <m/>
    <s v="24/05/1972"/>
    <n v="36"/>
    <x v="1"/>
    <s v="Female"/>
    <x v="0"/>
  </r>
  <r>
    <s v="11003"/>
    <m/>
    <s v="Son"/>
    <m/>
    <s v="14/08/2001"/>
    <n v="23"/>
    <x v="2"/>
    <s v="Male"/>
    <x v="0"/>
  </r>
  <r>
    <s v="11005"/>
    <m/>
    <s v="Self"/>
    <m/>
    <s v="06/01/1969"/>
    <n v="56"/>
    <x v="0"/>
    <s v="Male"/>
    <x v="0"/>
  </r>
  <r>
    <s v="11005"/>
    <m/>
    <s v="Wife"/>
    <m/>
    <s v="11/01/1974"/>
    <n v="51"/>
    <x v="3"/>
    <s v="Female"/>
    <x v="0"/>
  </r>
  <r>
    <s v="11005"/>
    <m/>
    <s v="Son"/>
    <m/>
    <s v="25/10/1993"/>
    <n v="31"/>
    <x v="4"/>
    <s v="Male"/>
    <x v="0"/>
  </r>
  <r>
    <s v="11005"/>
    <m/>
    <s v="Son"/>
    <m/>
    <s v="30/12/1999"/>
    <n v="25"/>
    <x v="2"/>
    <s v="Male"/>
    <x v="0"/>
  </r>
  <r>
    <s v="11022"/>
    <m/>
    <s v="Self"/>
    <m/>
    <s v="24/08/1970"/>
    <n v="54"/>
    <x v="3"/>
    <s v="Female"/>
    <x v="0"/>
  </r>
  <r>
    <s v="11022"/>
    <m/>
    <s v="Husband"/>
    <m/>
    <s v="05/03/1967"/>
    <n v="58"/>
    <x v="0"/>
    <s v="Male"/>
    <x v="0"/>
  </r>
  <r>
    <s v="11022"/>
    <m/>
    <s v="Son"/>
    <m/>
    <s v="07/03/1995"/>
    <n v="30"/>
    <x v="4"/>
    <s v="Male"/>
    <x v="0"/>
  </r>
  <r>
    <s v="11022"/>
    <m/>
    <s v="Son"/>
    <m/>
    <s v="22/12/2001"/>
    <n v="23"/>
    <x v="2"/>
    <s v="Male"/>
    <x v="0"/>
  </r>
  <r>
    <s v="11022"/>
    <m/>
    <s v="Father In Law"/>
    <m/>
    <s v="11/02/1936"/>
    <n v="89"/>
    <x v="5"/>
    <s v="Male"/>
    <x v="0"/>
  </r>
  <r>
    <s v="11022"/>
    <m/>
    <s v="Mother In Law"/>
    <m/>
    <s v="08/10/1946"/>
    <n v="78"/>
    <x v="5"/>
    <s v="Female"/>
    <x v="0"/>
  </r>
  <r>
    <s v="11031"/>
    <m/>
    <s v="Self"/>
    <m/>
    <s v="23/03/1972"/>
    <n v="53"/>
    <x v="3"/>
    <s v="Male"/>
    <x v="0"/>
  </r>
  <r>
    <s v="11031"/>
    <m/>
    <s v="Wife"/>
    <m/>
    <s v="26/12/1979"/>
    <n v="45"/>
    <x v="6"/>
    <s v="Female"/>
    <x v="0"/>
  </r>
  <r>
    <s v="11031"/>
    <m/>
    <s v="Son"/>
    <m/>
    <s v="21/05/1998"/>
    <n v="26"/>
    <x v="2"/>
    <s v="Male"/>
    <x v="0"/>
  </r>
  <r>
    <s v="11031"/>
    <m/>
    <s v="Daughter"/>
    <m/>
    <s v="21/03/2000"/>
    <n v="25"/>
    <x v="2"/>
    <s v="Female"/>
    <x v="0"/>
  </r>
  <r>
    <s v="11031"/>
    <m/>
    <s v="Father"/>
    <m/>
    <s v="01/01/1943"/>
    <n v="82"/>
    <x v="5"/>
    <s v="Male"/>
    <x v="0"/>
  </r>
  <r>
    <s v="11031"/>
    <m/>
    <s v="Mother"/>
    <m/>
    <s v="01/01/1952"/>
    <n v="73"/>
    <x v="7"/>
    <s v="Female"/>
    <x v="0"/>
  </r>
  <r>
    <s v="11034"/>
    <m/>
    <s v="Self"/>
    <m/>
    <s v="13/01/1970"/>
    <n v="55"/>
    <x v="3"/>
    <s v="Male"/>
    <x v="0"/>
  </r>
  <r>
    <s v="11034"/>
    <m/>
    <s v="Wife"/>
    <m/>
    <s v="11/12/1975"/>
    <n v="49"/>
    <x v="8"/>
    <s v="Female"/>
    <x v="0"/>
  </r>
  <r>
    <s v="11034"/>
    <m/>
    <s v="Son"/>
    <m/>
    <s v="13/04/2009"/>
    <n v="16"/>
    <x v="9"/>
    <s v="Male"/>
    <x v="0"/>
  </r>
  <r>
    <s v="11034"/>
    <m/>
    <s v="Daughter"/>
    <m/>
    <s v="28/10/2000"/>
    <n v="24"/>
    <x v="2"/>
    <s v="Female"/>
    <x v="0"/>
  </r>
  <r>
    <s v="11047"/>
    <m/>
    <s v="Self"/>
    <m/>
    <s v="29/05/1978"/>
    <n v="46"/>
    <x v="8"/>
    <s v="Male"/>
    <x v="0"/>
  </r>
  <r>
    <s v="11047"/>
    <m/>
    <s v="Wife"/>
    <m/>
    <s v="01/06/1982"/>
    <n v="42"/>
    <x v="6"/>
    <s v="Female"/>
    <x v="0"/>
  </r>
  <r>
    <s v="11047"/>
    <m/>
    <s v="Son"/>
    <m/>
    <s v="25/07/2006"/>
    <n v="18"/>
    <x v="9"/>
    <s v="Male"/>
    <x v="0"/>
  </r>
  <r>
    <s v="11047"/>
    <m/>
    <s v="Daughter"/>
    <m/>
    <s v="14/11/2009"/>
    <n v="15"/>
    <x v="9"/>
    <s v="Female"/>
    <x v="0"/>
  </r>
  <r>
    <s v="11047"/>
    <m/>
    <s v="Father"/>
    <m/>
    <s v="04/06/1954"/>
    <n v="70"/>
    <x v="10"/>
    <s v="Male"/>
    <x v="0"/>
  </r>
  <r>
    <s v="11050"/>
    <m/>
    <s v="Self"/>
    <m/>
    <s v="23/11/1967"/>
    <n v="57"/>
    <x v="0"/>
    <s v="Male"/>
    <x v="0"/>
  </r>
  <r>
    <s v="11050"/>
    <m/>
    <s v="Wife"/>
    <m/>
    <s v="14/06/1975"/>
    <n v="49"/>
    <x v="8"/>
    <s v="Female"/>
    <x v="0"/>
  </r>
  <r>
    <s v="11050"/>
    <m/>
    <s v="Daughter"/>
    <m/>
    <s v="10/12/2001"/>
    <n v="23"/>
    <x v="2"/>
    <s v="Female"/>
    <x v="0"/>
  </r>
  <r>
    <s v="11050"/>
    <m/>
    <s v="Mother"/>
    <m/>
    <s v="20/04/1951"/>
    <n v="73"/>
    <x v="7"/>
    <s v="Female"/>
    <x v="0"/>
  </r>
  <r>
    <s v="11053"/>
    <m/>
    <s v="Self"/>
    <m/>
    <s v="04/12/1976"/>
    <n v="48"/>
    <x v="8"/>
    <s v="Male"/>
    <x v="0"/>
  </r>
  <r>
    <s v="11053"/>
    <m/>
    <s v="Wife"/>
    <m/>
    <s v="27/10/1977"/>
    <n v="47"/>
    <x v="8"/>
    <s v="Female"/>
    <x v="0"/>
  </r>
  <r>
    <s v="11053"/>
    <m/>
    <s v="Son"/>
    <m/>
    <s v="08/03/2001"/>
    <n v="24"/>
    <x v="2"/>
    <s v="Male"/>
    <x v="0"/>
  </r>
  <r>
    <s v="11054"/>
    <m/>
    <s v="Self"/>
    <m/>
    <s v="17/03/1971"/>
    <n v="54"/>
    <x v="3"/>
    <s v="Male"/>
    <x v="0"/>
  </r>
  <r>
    <s v="11054"/>
    <m/>
    <s v="Wife"/>
    <m/>
    <s v="11/01/1978"/>
    <n v="47"/>
    <x v="8"/>
    <s v="Female"/>
    <x v="0"/>
  </r>
  <r>
    <s v="11054"/>
    <m/>
    <s v="Daughter"/>
    <m/>
    <s v="15/09/2008"/>
    <n v="16"/>
    <x v="9"/>
    <s v="Female"/>
    <x v="0"/>
  </r>
  <r>
    <s v="11054"/>
    <m/>
    <s v="Father"/>
    <m/>
    <s v="20/07/1940"/>
    <n v="84"/>
    <x v="5"/>
    <s v="Male"/>
    <x v="0"/>
  </r>
  <r>
    <s v="11054"/>
    <m/>
    <s v="Mother"/>
    <m/>
    <s v="15/12/1946"/>
    <n v="78"/>
    <x v="5"/>
    <s v="Female"/>
    <x v="0"/>
  </r>
  <r>
    <s v="11055"/>
    <m/>
    <s v="Self"/>
    <m/>
    <s v="21/02/1978"/>
    <n v="47"/>
    <x v="8"/>
    <s v="Male"/>
    <x v="0"/>
  </r>
  <r>
    <s v="11055"/>
    <m/>
    <s v="Wife"/>
    <m/>
    <s v="01/06/1982"/>
    <n v="42"/>
    <x v="6"/>
    <s v="Female"/>
    <x v="0"/>
  </r>
  <r>
    <s v="11055"/>
    <m/>
    <s v="Son"/>
    <m/>
    <s v="05/01/2006"/>
    <n v="19"/>
    <x v="11"/>
    <s v="Male"/>
    <x v="0"/>
  </r>
  <r>
    <s v="11055"/>
    <m/>
    <s v="Father"/>
    <m/>
    <s v="19/10/1954"/>
    <n v="70"/>
    <x v="10"/>
    <s v="Male"/>
    <x v="0"/>
  </r>
  <r>
    <s v="11058"/>
    <m/>
    <s v="Self"/>
    <m/>
    <s v="09/07/1969"/>
    <n v="55"/>
    <x v="3"/>
    <s v="Male"/>
    <x v="0"/>
  </r>
  <r>
    <s v="11058"/>
    <m/>
    <s v="Wife"/>
    <m/>
    <s v="24/10/1969"/>
    <n v="55"/>
    <x v="3"/>
    <s v="Female"/>
    <x v="0"/>
  </r>
  <r>
    <s v="11058"/>
    <m/>
    <s v="Daughter"/>
    <m/>
    <s v="25/04/1998"/>
    <n v="26"/>
    <x v="2"/>
    <s v="Female"/>
    <x v="0"/>
  </r>
  <r>
    <s v="11058"/>
    <m/>
    <s v="Mother"/>
    <m/>
    <s v="05/10/1950"/>
    <n v="74"/>
    <x v="7"/>
    <s v="Female"/>
    <x v="0"/>
  </r>
  <r>
    <s v="11059"/>
    <m/>
    <s v="Self"/>
    <m/>
    <s v="20/03/1970"/>
    <n v="55"/>
    <x v="3"/>
    <s v="Female"/>
    <x v="0"/>
  </r>
  <r>
    <s v="11059"/>
    <m/>
    <s v="Husband"/>
    <m/>
    <s v="15/01/1962"/>
    <n v="63"/>
    <x v="12"/>
    <s v="Male"/>
    <x v="0"/>
  </r>
  <r>
    <s v="11059"/>
    <m/>
    <s v="Son"/>
    <m/>
    <s v="23/02/1998"/>
    <n v="27"/>
    <x v="2"/>
    <s v="Male"/>
    <x v="0"/>
  </r>
  <r>
    <s v="11059"/>
    <m/>
    <s v="Mother"/>
    <m/>
    <s v="08/12/1948"/>
    <n v="76"/>
    <x v="5"/>
    <s v="Female"/>
    <x v="0"/>
  </r>
  <r>
    <s v="11065"/>
    <m/>
    <s v="Self"/>
    <m/>
    <s v="19/02/1980"/>
    <n v="45"/>
    <x v="6"/>
    <s v="Male"/>
    <x v="0"/>
  </r>
  <r>
    <s v="11065"/>
    <m/>
    <s v="Wife"/>
    <m/>
    <s v="01/04/1985"/>
    <n v="40"/>
    <x v="1"/>
    <s v="Female"/>
    <x v="0"/>
  </r>
  <r>
    <s v="11065"/>
    <m/>
    <s v="Daughter"/>
    <m/>
    <s v="27/11/2019"/>
    <n v="5"/>
    <x v="9"/>
    <s v="Female"/>
    <x v="0"/>
  </r>
  <r>
    <s v="11065"/>
    <m/>
    <s v="Father"/>
    <m/>
    <s v="30/10/1948"/>
    <n v="76"/>
    <x v="5"/>
    <s v="Male"/>
    <x v="0"/>
  </r>
  <r>
    <s v="11065"/>
    <m/>
    <s v="Mother"/>
    <m/>
    <s v="03/05/1948"/>
    <n v="76"/>
    <x v="5"/>
    <s v="Female"/>
    <x v="0"/>
  </r>
  <r>
    <s v="11073"/>
    <m/>
    <s v="Self"/>
    <m/>
    <s v="20/09/1971"/>
    <n v="53"/>
    <x v="3"/>
    <s v="Male"/>
    <x v="0"/>
  </r>
  <r>
    <s v="11073"/>
    <m/>
    <s v="Wife"/>
    <m/>
    <s v="26/12/1975"/>
    <n v="49"/>
    <x v="8"/>
    <s v="Female"/>
    <x v="0"/>
  </r>
  <r>
    <s v="11073"/>
    <m/>
    <s v="Daughter"/>
    <m/>
    <s v="12/06/2000"/>
    <n v="24"/>
    <x v="2"/>
    <s v="Female"/>
    <x v="0"/>
  </r>
  <r>
    <s v="11073"/>
    <m/>
    <s v="Daughter"/>
    <m/>
    <s v="14/05/2005"/>
    <n v="19"/>
    <x v="11"/>
    <s v="Female"/>
    <x v="0"/>
  </r>
  <r>
    <s v="11074"/>
    <m/>
    <s v="Self"/>
    <m/>
    <s v="19/12/1979"/>
    <n v="45"/>
    <x v="6"/>
    <s v="Male"/>
    <x v="0"/>
  </r>
  <r>
    <s v="11074"/>
    <m/>
    <s v="Wife"/>
    <m/>
    <s v="01/04/1984"/>
    <n v="41"/>
    <x v="6"/>
    <s v="Female"/>
    <x v="0"/>
  </r>
  <r>
    <s v="11074"/>
    <m/>
    <s v="Son"/>
    <m/>
    <s v="01/10/2016"/>
    <n v="8"/>
    <x v="9"/>
    <s v="Male"/>
    <x v="0"/>
  </r>
  <r>
    <s v="11074"/>
    <m/>
    <s v="Daughter"/>
    <m/>
    <s v="22/09/2010"/>
    <n v="14"/>
    <x v="9"/>
    <s v="Female"/>
    <x v="0"/>
  </r>
  <r>
    <s v="11074"/>
    <m/>
    <s v="Father"/>
    <m/>
    <s v="15/02/1948"/>
    <n v="77"/>
    <x v="5"/>
    <s v="Male"/>
    <x v="0"/>
  </r>
  <r>
    <s v="11074"/>
    <m/>
    <s v="Mother"/>
    <m/>
    <s v="25/08/1956"/>
    <n v="68"/>
    <x v="10"/>
    <s v="Female"/>
    <x v="0"/>
  </r>
  <r>
    <s v="11077"/>
    <m/>
    <s v="Self"/>
    <m/>
    <s v="29/12/1968"/>
    <n v="56"/>
    <x v="0"/>
    <s v="Male"/>
    <x v="0"/>
  </r>
  <r>
    <s v="11077"/>
    <m/>
    <s v="Wife"/>
    <m/>
    <s v="22/10/1973"/>
    <n v="51"/>
    <x v="3"/>
    <s v="Female"/>
    <x v="0"/>
  </r>
  <r>
    <s v="11077"/>
    <m/>
    <s v="Son"/>
    <m/>
    <s v="25/08/1999"/>
    <n v="25"/>
    <x v="2"/>
    <s v="Male"/>
    <x v="0"/>
  </r>
  <r>
    <s v="11077"/>
    <m/>
    <s v="Mother"/>
    <m/>
    <s v="24/09/1942"/>
    <n v="82"/>
    <x v="5"/>
    <s v="Female"/>
    <x v="0"/>
  </r>
  <r>
    <s v="11080"/>
    <m/>
    <s v="Self"/>
    <m/>
    <s v="13/11/1986"/>
    <n v="38"/>
    <x v="1"/>
    <s v="Male"/>
    <x v="0"/>
  </r>
  <r>
    <s v="11080"/>
    <m/>
    <s v="Wife"/>
    <m/>
    <s v="14/11/1993"/>
    <n v="31"/>
    <x v="4"/>
    <s v="Female"/>
    <x v="0"/>
  </r>
  <r>
    <s v="11080"/>
    <m/>
    <s v="Son"/>
    <m/>
    <s v="18/03/2013"/>
    <n v="12"/>
    <x v="9"/>
    <s v="Male"/>
    <x v="0"/>
  </r>
  <r>
    <s v="11080"/>
    <m/>
    <s v="Son"/>
    <m/>
    <s v="08/03/2015"/>
    <n v="10"/>
    <x v="9"/>
    <s v="Male"/>
    <x v="0"/>
  </r>
  <r>
    <s v="11080"/>
    <m/>
    <s v="Father"/>
    <m/>
    <s v="01/06/1965"/>
    <n v="59"/>
    <x v="0"/>
    <s v="Male"/>
    <x v="0"/>
  </r>
  <r>
    <s v="11080"/>
    <m/>
    <s v="Mother"/>
    <m/>
    <s v="12/06/1967"/>
    <n v="57"/>
    <x v="0"/>
    <s v="Female"/>
    <x v="0"/>
  </r>
  <r>
    <s v="11081"/>
    <m/>
    <s v="Self"/>
    <m/>
    <s v="11/09/1985"/>
    <n v="39"/>
    <x v="1"/>
    <s v="Male"/>
    <x v="0"/>
  </r>
  <r>
    <s v="11081"/>
    <m/>
    <s v="Wife"/>
    <m/>
    <s v="20/05/1986"/>
    <n v="38"/>
    <x v="1"/>
    <s v="Female"/>
    <x v="0"/>
  </r>
  <r>
    <s v="11081"/>
    <m/>
    <s v="Son"/>
    <m/>
    <s v="04/08/2015"/>
    <n v="9"/>
    <x v="9"/>
    <s v="Male"/>
    <x v="0"/>
  </r>
  <r>
    <s v="11081"/>
    <m/>
    <s v="Daughter"/>
    <m/>
    <s v="07/08/2012"/>
    <n v="12"/>
    <x v="9"/>
    <s v="Female"/>
    <x v="0"/>
  </r>
  <r>
    <s v="11081"/>
    <m/>
    <s v="Mother"/>
    <m/>
    <s v="08/05/1966"/>
    <n v="58"/>
    <x v="0"/>
    <s v="Female"/>
    <x v="0"/>
  </r>
  <r>
    <s v="11083"/>
    <m/>
    <s v="Self"/>
    <m/>
    <s v="15/07/1979"/>
    <n v="45"/>
    <x v="6"/>
    <s v="Male"/>
    <x v="0"/>
  </r>
  <r>
    <s v="11083"/>
    <m/>
    <s v="Wife"/>
    <m/>
    <s v="22/10/1986"/>
    <n v="38"/>
    <x v="1"/>
    <s v="Female"/>
    <x v="0"/>
  </r>
  <r>
    <s v="11085"/>
    <m/>
    <s v="Self"/>
    <m/>
    <s v="12/07/1974"/>
    <n v="50"/>
    <x v="8"/>
    <s v="Male"/>
    <x v="0"/>
  </r>
  <r>
    <s v="11085"/>
    <m/>
    <s v="Wife"/>
    <m/>
    <s v="03/06/1980"/>
    <n v="44"/>
    <x v="6"/>
    <s v="Female"/>
    <x v="0"/>
  </r>
  <r>
    <s v="11085"/>
    <m/>
    <s v="Son"/>
    <m/>
    <s v="20/03/2002"/>
    <n v="23"/>
    <x v="2"/>
    <s v="Male"/>
    <x v="0"/>
  </r>
  <r>
    <s v="11085"/>
    <m/>
    <s v="Son"/>
    <m/>
    <s v="14/10/2006"/>
    <n v="18"/>
    <x v="9"/>
    <s v="Male"/>
    <x v="0"/>
  </r>
  <r>
    <s v="11092"/>
    <m/>
    <s v="Self"/>
    <m/>
    <s v="01/04/1986"/>
    <n v="39"/>
    <x v="1"/>
    <s v="Male"/>
    <x v="0"/>
  </r>
  <r>
    <s v="11092"/>
    <m/>
    <s v="Wife"/>
    <m/>
    <s v="07/10/1988"/>
    <n v="36"/>
    <x v="1"/>
    <s v="Female"/>
    <x v="0"/>
  </r>
  <r>
    <s v="11092"/>
    <m/>
    <s v="Daughter"/>
    <m/>
    <s v="23/06/2015"/>
    <n v="9"/>
    <x v="9"/>
    <s v="Female"/>
    <x v="0"/>
  </r>
  <r>
    <s v="11092"/>
    <m/>
    <s v="Father"/>
    <m/>
    <s v="22/06/1958"/>
    <n v="66"/>
    <x v="10"/>
    <s v="Male"/>
    <x v="0"/>
  </r>
  <r>
    <s v="11092"/>
    <m/>
    <s v="Mother"/>
    <m/>
    <s v="25/05/1965"/>
    <n v="59"/>
    <x v="0"/>
    <s v="Female"/>
    <x v="0"/>
  </r>
  <r>
    <s v="11098"/>
    <m/>
    <s v="Self"/>
    <m/>
    <s v="15/10/1986"/>
    <n v="38"/>
    <x v="1"/>
    <s v="Male"/>
    <x v="0"/>
  </r>
  <r>
    <s v="11098"/>
    <m/>
    <s v="Wife"/>
    <m/>
    <s v="08/09/1991"/>
    <n v="33"/>
    <x v="4"/>
    <s v="Female"/>
    <x v="0"/>
  </r>
  <r>
    <s v="11098"/>
    <m/>
    <s v="Son"/>
    <m/>
    <s v="19/10/2015"/>
    <n v="9"/>
    <x v="9"/>
    <s v="Male"/>
    <x v="0"/>
  </r>
  <r>
    <s v="11098"/>
    <m/>
    <s v="Son"/>
    <m/>
    <s v="01/06/2021"/>
    <n v="3"/>
    <x v="9"/>
    <s v="Male"/>
    <x v="0"/>
  </r>
  <r>
    <s v="11098"/>
    <m/>
    <s v="Father"/>
    <m/>
    <s v="05/07/1963"/>
    <n v="61"/>
    <x v="12"/>
    <s v="Male"/>
    <x v="0"/>
  </r>
  <r>
    <s v="11098"/>
    <m/>
    <s v="Mother"/>
    <m/>
    <s v="10/05/1968"/>
    <n v="56"/>
    <x v="0"/>
    <s v="Female"/>
    <x v="0"/>
  </r>
  <r>
    <s v="11103"/>
    <m/>
    <s v="Self"/>
    <m/>
    <s v="23/03/1967"/>
    <n v="58"/>
    <x v="0"/>
    <s v="Male"/>
    <x v="0"/>
  </r>
  <r>
    <s v="11103"/>
    <m/>
    <s v="Son"/>
    <m/>
    <s v="13/01/2005"/>
    <n v="20"/>
    <x v="11"/>
    <s v="Male"/>
    <x v="0"/>
  </r>
  <r>
    <s v="11104"/>
    <m/>
    <s v="Self"/>
    <m/>
    <s v="23/02/1989"/>
    <n v="36"/>
    <x v="1"/>
    <s v="Female"/>
    <x v="0"/>
  </r>
  <r>
    <s v="11104"/>
    <m/>
    <s v="Husband"/>
    <m/>
    <s v="13/10/1983"/>
    <n v="41"/>
    <x v="6"/>
    <s v="Male"/>
    <x v="0"/>
  </r>
  <r>
    <s v="11104"/>
    <m/>
    <s v="Daughter"/>
    <m/>
    <s v="04/11/2015"/>
    <n v="9"/>
    <x v="9"/>
    <s v="Female"/>
    <x v="0"/>
  </r>
  <r>
    <s v="11104"/>
    <m/>
    <s v="Daughter"/>
    <m/>
    <s v="10/10/2017"/>
    <n v="7"/>
    <x v="9"/>
    <s v="Female"/>
    <x v="0"/>
  </r>
  <r>
    <s v="11105"/>
    <m/>
    <s v="Self"/>
    <m/>
    <s v="31/07/1981"/>
    <n v="43"/>
    <x v="6"/>
    <s v="Female"/>
    <x v="0"/>
  </r>
  <r>
    <s v="11105"/>
    <m/>
    <s v="Husband"/>
    <m/>
    <s v="23/04/1982"/>
    <n v="42"/>
    <x v="6"/>
    <s v="Male"/>
    <x v="0"/>
  </r>
  <r>
    <s v="11105"/>
    <m/>
    <s v="Daughter"/>
    <m/>
    <s v="30/11/2008"/>
    <n v="16"/>
    <x v="9"/>
    <s v="Female"/>
    <x v="0"/>
  </r>
  <r>
    <s v="11105"/>
    <m/>
    <s v="Father In Law"/>
    <m/>
    <s v="02/06/1952"/>
    <n v="72"/>
    <x v="7"/>
    <s v="Male"/>
    <x v="0"/>
  </r>
  <r>
    <s v="11105"/>
    <m/>
    <s v="Mother In Law"/>
    <m/>
    <s v="01/06/1962"/>
    <n v="62"/>
    <x v="12"/>
    <s v="Female"/>
    <x v="0"/>
  </r>
  <r>
    <s v="11108"/>
    <m/>
    <s v="Self"/>
    <m/>
    <s v="10/01/1991"/>
    <n v="34"/>
    <x v="4"/>
    <s v="Male"/>
    <x v="0"/>
  </r>
  <r>
    <s v="11108"/>
    <m/>
    <s v="Mother"/>
    <m/>
    <s v="16/08/1972"/>
    <n v="52"/>
    <x v="3"/>
    <s v="Female"/>
    <x v="0"/>
  </r>
  <r>
    <s v="11111"/>
    <m/>
    <s v="Self"/>
    <m/>
    <s v="03/07/1995"/>
    <n v="29"/>
    <x v="4"/>
    <s v="Male"/>
    <x v="0"/>
  </r>
  <r>
    <s v="11111"/>
    <m/>
    <s v="Father"/>
    <m/>
    <s v="01/06/1971"/>
    <n v="53"/>
    <x v="3"/>
    <s v="Male"/>
    <x v="0"/>
  </r>
  <r>
    <s v="11111"/>
    <m/>
    <s v="Mother"/>
    <m/>
    <s v="05/10/1978"/>
    <n v="46"/>
    <x v="8"/>
    <s v="Female"/>
    <x v="0"/>
  </r>
  <r>
    <s v="11112"/>
    <m/>
    <s v="Self"/>
    <m/>
    <s v="14/05/1994"/>
    <n v="30"/>
    <x v="4"/>
    <s v="Male"/>
    <x v="0"/>
  </r>
  <r>
    <s v="11112"/>
    <m/>
    <s v="Wife"/>
    <m/>
    <s v="09/08/1998"/>
    <n v="26"/>
    <x v="2"/>
    <s v="Female"/>
    <x v="0"/>
  </r>
  <r>
    <s v="11112"/>
    <m/>
    <s v="Father"/>
    <m/>
    <s v="07/03/1966"/>
    <n v="59"/>
    <x v="0"/>
    <s v="Male"/>
    <x v="0"/>
  </r>
  <r>
    <s v="11112"/>
    <m/>
    <s v="Mother"/>
    <m/>
    <s v="29/12/1968"/>
    <n v="56"/>
    <x v="0"/>
    <s v="Female"/>
    <x v="0"/>
  </r>
  <r>
    <s v="11115"/>
    <m/>
    <s v="Self"/>
    <m/>
    <s v="14/11/1980"/>
    <n v="44"/>
    <x v="6"/>
    <s v="Female"/>
    <x v="0"/>
  </r>
  <r>
    <s v="11115"/>
    <m/>
    <s v="Husband"/>
    <m/>
    <s v="11/03/1978"/>
    <n v="47"/>
    <x v="8"/>
    <s v="Male"/>
    <x v="0"/>
  </r>
  <r>
    <s v="11115"/>
    <m/>
    <s v="Son"/>
    <m/>
    <s v="30/07/2006"/>
    <n v="18"/>
    <x v="9"/>
    <s v="Male"/>
    <x v="0"/>
  </r>
  <r>
    <s v="11115"/>
    <m/>
    <s v="Father In Law"/>
    <m/>
    <s v="22/02/1947"/>
    <n v="78"/>
    <x v="5"/>
    <s v="Male"/>
    <x v="0"/>
  </r>
  <r>
    <s v="11115"/>
    <m/>
    <s v="Mother In Law"/>
    <m/>
    <s v="23/09/1950"/>
    <n v="74"/>
    <x v="7"/>
    <s v="Female"/>
    <x v="0"/>
  </r>
  <r>
    <s v="11116"/>
    <m/>
    <s v="Self"/>
    <m/>
    <s v="09/10/1974"/>
    <n v="50"/>
    <x v="8"/>
    <s v="Male"/>
    <x v="0"/>
  </r>
  <r>
    <s v="11116"/>
    <m/>
    <s v="Wife"/>
    <m/>
    <s v="08/07/1981"/>
    <n v="43"/>
    <x v="6"/>
    <s v="Female"/>
    <x v="0"/>
  </r>
  <r>
    <s v="11116"/>
    <m/>
    <s v="Son"/>
    <m/>
    <s v="16/10/2003"/>
    <n v="21"/>
    <x v="11"/>
    <s v="Male"/>
    <x v="0"/>
  </r>
  <r>
    <s v="11116"/>
    <m/>
    <s v="Daughter"/>
    <m/>
    <s v="30/10/2007"/>
    <n v="17"/>
    <x v="9"/>
    <s v="Female"/>
    <x v="0"/>
  </r>
  <r>
    <s v="11116"/>
    <m/>
    <s v="Father"/>
    <m/>
    <s v="05/12/1943"/>
    <n v="81"/>
    <x v="5"/>
    <s v="Male"/>
    <x v="0"/>
  </r>
  <r>
    <s v="11116"/>
    <m/>
    <s v="Mother"/>
    <m/>
    <s v="01/02/1958"/>
    <n v="67"/>
    <x v="10"/>
    <s v="Female"/>
    <x v="0"/>
  </r>
  <r>
    <s v="11117"/>
    <m/>
    <s v="Self"/>
    <m/>
    <s v="03/11/1980"/>
    <n v="44"/>
    <x v="6"/>
    <s v="Male"/>
    <x v="0"/>
  </r>
  <r>
    <s v="11117"/>
    <m/>
    <s v="Wife"/>
    <m/>
    <s v="04/04/1978"/>
    <n v="47"/>
    <x v="8"/>
    <s v="Female"/>
    <x v="0"/>
  </r>
  <r>
    <s v="11117"/>
    <m/>
    <s v="Son"/>
    <m/>
    <s v="28/03/2012"/>
    <n v="13"/>
    <x v="9"/>
    <s v="Male"/>
    <x v="0"/>
  </r>
  <r>
    <s v="11117"/>
    <m/>
    <s v="Mother"/>
    <m/>
    <s v="01/01/1968"/>
    <n v="57"/>
    <x v="0"/>
    <s v="Female"/>
    <x v="0"/>
  </r>
  <r>
    <s v="11118"/>
    <m/>
    <s v="Self"/>
    <m/>
    <s v="12/07/1996"/>
    <n v="28"/>
    <x v="2"/>
    <s v="Male"/>
    <x v="0"/>
  </r>
  <r>
    <s v="11118"/>
    <m/>
    <s v="Father"/>
    <m/>
    <s v="04/06/1956"/>
    <n v="68"/>
    <x v="10"/>
    <s v="Male"/>
    <x v="0"/>
  </r>
  <r>
    <s v="11118"/>
    <m/>
    <s v="Mother"/>
    <m/>
    <s v="31/08/1967"/>
    <n v="57"/>
    <x v="0"/>
    <s v="Female"/>
    <x v="0"/>
  </r>
  <r>
    <s v="11119"/>
    <m/>
    <s v="Self"/>
    <m/>
    <s v="05/06/2001"/>
    <n v="23"/>
    <x v="2"/>
    <s v="Male"/>
    <x v="0"/>
  </r>
  <r>
    <s v="11119"/>
    <m/>
    <s v="Father"/>
    <m/>
    <s v="15/03/1968"/>
    <n v="57"/>
    <x v="0"/>
    <s v="Male"/>
    <x v="0"/>
  </r>
  <r>
    <s v="11119"/>
    <m/>
    <s v="Mother"/>
    <m/>
    <s v="21/09/1974"/>
    <n v="50"/>
    <x v="8"/>
    <s v="Female"/>
    <x v="0"/>
  </r>
  <r>
    <s v="11120"/>
    <m/>
    <s v="Self"/>
    <m/>
    <s v="16/02/1994"/>
    <n v="31"/>
    <x v="4"/>
    <s v="Female"/>
    <x v="0"/>
  </r>
  <r>
    <s v="11120"/>
    <m/>
    <s v="Father"/>
    <m/>
    <s v="14/01/1969"/>
    <n v="56"/>
    <x v="0"/>
    <s v="Male"/>
    <x v="0"/>
  </r>
  <r>
    <s v="11120"/>
    <m/>
    <s v="Mother"/>
    <m/>
    <s v="18/05/1970"/>
    <n v="54"/>
    <x v="3"/>
    <s v="Female"/>
    <x v="0"/>
  </r>
  <r>
    <s v="11122"/>
    <m/>
    <s v="Self"/>
    <m/>
    <s v="11/04/1991"/>
    <n v="34"/>
    <x v="4"/>
    <s v="Female"/>
    <x v="0"/>
  </r>
  <r>
    <s v="11122"/>
    <m/>
    <s v="Husband"/>
    <m/>
    <s v="04/01/1980"/>
    <n v="45"/>
    <x v="6"/>
    <s v="Male"/>
    <x v="0"/>
  </r>
  <r>
    <s v="11122"/>
    <m/>
    <s v="Daughter"/>
    <m/>
    <s v="13/04/2019"/>
    <n v="6"/>
    <x v="9"/>
    <s v="Female"/>
    <x v="0"/>
  </r>
  <r>
    <s v="11122"/>
    <m/>
    <s v="Father"/>
    <m/>
    <s v="03/04/1971"/>
    <n v="54"/>
    <x v="3"/>
    <s v="Male"/>
    <x v="0"/>
  </r>
  <r>
    <s v="11122"/>
    <m/>
    <s v="Mother"/>
    <m/>
    <s v="05/03/1974"/>
    <n v="51"/>
    <x v="3"/>
    <s v="Female"/>
    <x v="0"/>
  </r>
  <r>
    <s v="11123"/>
    <m/>
    <s v="Self"/>
    <m/>
    <s v="21/11/1974"/>
    <n v="50"/>
    <x v="8"/>
    <s v="Male"/>
    <x v="0"/>
  </r>
  <r>
    <s v="11123"/>
    <m/>
    <s v="Wife"/>
    <m/>
    <s v="06/04/1982"/>
    <n v="43"/>
    <x v="6"/>
    <s v="Female"/>
    <x v="0"/>
  </r>
  <r>
    <s v="11123"/>
    <m/>
    <s v="Son"/>
    <m/>
    <s v="23/03/2008"/>
    <n v="17"/>
    <x v="9"/>
    <s v="Male"/>
    <x v="0"/>
  </r>
  <r>
    <s v="11123"/>
    <m/>
    <s v="Daughter"/>
    <m/>
    <s v="20/01/2003"/>
    <n v="22"/>
    <x v="11"/>
    <s v="Female"/>
    <x v="0"/>
  </r>
  <r>
    <s v="11123"/>
    <m/>
    <s v="Mother"/>
    <m/>
    <s v="10/07/1942"/>
    <n v="82"/>
    <x v="5"/>
    <s v="Female"/>
    <x v="0"/>
  </r>
  <r>
    <s v="11124"/>
    <m/>
    <s v="Self"/>
    <m/>
    <s v="16/11/1997"/>
    <n v="27"/>
    <x v="2"/>
    <s v="Male"/>
    <x v="0"/>
  </r>
  <r>
    <s v="11125"/>
    <m/>
    <s v="Self"/>
    <m/>
    <s v="06/01/1992"/>
    <n v="33"/>
    <x v="4"/>
    <s v="Male"/>
    <x v="0"/>
  </r>
  <r>
    <s v="11125"/>
    <m/>
    <s v="Wife"/>
    <m/>
    <s v="05/10/1994"/>
    <n v="30"/>
    <x v="4"/>
    <s v="Female"/>
    <x v="0"/>
  </r>
  <r>
    <s v="11125"/>
    <m/>
    <s v="Father"/>
    <m/>
    <s v="06/01/1974"/>
    <n v="51"/>
    <x v="3"/>
    <s v="Male"/>
    <x v="0"/>
  </r>
  <r>
    <s v="11125"/>
    <m/>
    <s v="Mother"/>
    <m/>
    <s v="15/06/1964"/>
    <n v="60"/>
    <x v="0"/>
    <s v="Female"/>
    <x v="0"/>
  </r>
  <r>
    <s v="11126"/>
    <m/>
    <s v="Self"/>
    <m/>
    <s v="07/05/2001"/>
    <n v="23"/>
    <x v="2"/>
    <s v="Male"/>
    <x v="0"/>
  </r>
  <r>
    <s v="11126"/>
    <m/>
    <s v="Father"/>
    <m/>
    <s v="01/01/1974"/>
    <n v="51"/>
    <x v="3"/>
    <s v="Male"/>
    <x v="0"/>
  </r>
  <r>
    <s v="11126"/>
    <m/>
    <s v="Mother"/>
    <m/>
    <s v="01/01/1975"/>
    <n v="50"/>
    <x v="8"/>
    <s v="Female"/>
    <x v="0"/>
  </r>
  <r>
    <s v="11127"/>
    <m/>
    <s v="Self"/>
    <m/>
    <s v="04/12/1984"/>
    <n v="40"/>
    <x v="1"/>
    <s v="Male"/>
    <x v="0"/>
  </r>
  <r>
    <s v="11127"/>
    <m/>
    <s v="Wife"/>
    <m/>
    <s v="05/06/1985"/>
    <n v="39"/>
    <x v="1"/>
    <s v="Female"/>
    <x v="0"/>
  </r>
  <r>
    <s v="11127"/>
    <m/>
    <s v="Daughter"/>
    <m/>
    <s v="17/12/2020"/>
    <n v="4"/>
    <x v="9"/>
    <s v="Female"/>
    <x v="0"/>
  </r>
  <r>
    <s v="11127"/>
    <m/>
    <s v="Father"/>
    <m/>
    <s v="05/12/1959"/>
    <n v="65"/>
    <x v="12"/>
    <s v="Male"/>
    <x v="0"/>
  </r>
  <r>
    <s v="11127"/>
    <m/>
    <s v="Mother"/>
    <m/>
    <s v="01/06/1963"/>
    <n v="61"/>
    <x v="12"/>
    <s v="Female"/>
    <x v="0"/>
  </r>
  <r>
    <s v="11128"/>
    <m/>
    <s v="Self"/>
    <m/>
    <s v="09/12/1999"/>
    <n v="25"/>
    <x v="2"/>
    <s v="Male"/>
    <x v="0"/>
  </r>
  <r>
    <s v="11128"/>
    <m/>
    <s v="Father"/>
    <m/>
    <s v="06/05/1967"/>
    <n v="57"/>
    <x v="0"/>
    <s v="Male"/>
    <x v="0"/>
  </r>
  <r>
    <s v="11128"/>
    <m/>
    <s v="Mother"/>
    <m/>
    <s v="23/05/1978"/>
    <n v="46"/>
    <x v="8"/>
    <s v="Female"/>
    <x v="0"/>
  </r>
  <r>
    <s v="11129"/>
    <m/>
    <s v="Self"/>
    <m/>
    <s v="29/05/2001"/>
    <n v="23"/>
    <x v="2"/>
    <s v="Male"/>
    <x v="0"/>
  </r>
  <r>
    <s v="11129"/>
    <m/>
    <s v="Father"/>
    <m/>
    <s v="23/07/1978"/>
    <n v="46"/>
    <x v="8"/>
    <s v="Male"/>
    <x v="0"/>
  </r>
  <r>
    <s v="11129"/>
    <m/>
    <s v="Mother"/>
    <m/>
    <s v="06/01/1982"/>
    <n v="43"/>
    <x v="6"/>
    <s v="Female"/>
    <x v="0"/>
  </r>
  <r>
    <s v="11131"/>
    <m/>
    <s v="Self"/>
    <m/>
    <s v="10/02/1996"/>
    <n v="29"/>
    <x v="4"/>
    <s v="Male"/>
    <x v="0"/>
  </r>
  <r>
    <s v="11131"/>
    <m/>
    <s v="Father"/>
    <m/>
    <s v="06/01/1968"/>
    <n v="57"/>
    <x v="0"/>
    <s v="Male"/>
    <x v="0"/>
  </r>
  <r>
    <s v="11131"/>
    <m/>
    <s v="Mother"/>
    <m/>
    <s v="25/01/1976"/>
    <n v="49"/>
    <x v="8"/>
    <s v="Female"/>
    <x v="0"/>
  </r>
  <r>
    <s v="11134"/>
    <m/>
    <s v="Self"/>
    <m/>
    <s v="01/09/2002"/>
    <n v="22"/>
    <x v="11"/>
    <s v="Male"/>
    <x v="0"/>
  </r>
  <r>
    <s v="11134"/>
    <m/>
    <s v="Father"/>
    <m/>
    <s v="12/02/1971"/>
    <n v="54"/>
    <x v="3"/>
    <s v="Male"/>
    <x v="0"/>
  </r>
  <r>
    <s v="11134"/>
    <m/>
    <s v="Mother"/>
    <m/>
    <s v="09/01/1973"/>
    <n v="52"/>
    <x v="3"/>
    <s v="Female"/>
    <x v="0"/>
  </r>
  <r>
    <s v="11135"/>
    <m/>
    <s v="Self"/>
    <m/>
    <s v="19/04/2002"/>
    <n v="22"/>
    <x v="11"/>
    <s v="Male"/>
    <x v="0"/>
  </r>
  <r>
    <s v="11135"/>
    <m/>
    <s v="Father"/>
    <m/>
    <s v="12/06/1976"/>
    <n v="48"/>
    <x v="8"/>
    <s v="Male"/>
    <x v="0"/>
  </r>
  <r>
    <s v="11135"/>
    <m/>
    <s v="Mother"/>
    <m/>
    <s v="25/04/1979"/>
    <n v="45"/>
    <x v="6"/>
    <s v="Female"/>
    <x v="0"/>
  </r>
  <r>
    <s v="11136"/>
    <m/>
    <s v="Self"/>
    <m/>
    <s v="20/04/1989"/>
    <n v="35"/>
    <x v="4"/>
    <s v="Female"/>
    <x v="0"/>
  </r>
  <r>
    <s v="11136"/>
    <m/>
    <s v="Husband"/>
    <m/>
    <s v="24/10/1987"/>
    <n v="37"/>
    <x v="1"/>
    <s v="Male"/>
    <x v="0"/>
  </r>
  <r>
    <s v="11136"/>
    <m/>
    <s v="Father"/>
    <m/>
    <s v="19/03/1956"/>
    <n v="69"/>
    <x v="10"/>
    <s v="Male"/>
    <x v="0"/>
  </r>
  <r>
    <s v="11136"/>
    <m/>
    <s v="Mother"/>
    <m/>
    <s v="24/02/1961"/>
    <n v="64"/>
    <x v="12"/>
    <s v="Female"/>
    <x v="0"/>
  </r>
  <r>
    <s v="11137"/>
    <m/>
    <s v="Self"/>
    <m/>
    <s v="25/04/1998"/>
    <n v="26"/>
    <x v="2"/>
    <s v="Male"/>
    <x v="0"/>
  </r>
  <r>
    <s v="11137"/>
    <m/>
    <s v="Father"/>
    <m/>
    <s v="13/10/1969"/>
    <n v="55"/>
    <x v="3"/>
    <s v="Male"/>
    <x v="0"/>
  </r>
  <r>
    <s v="11137"/>
    <m/>
    <s v="Mother"/>
    <m/>
    <s v="01/07/1973"/>
    <n v="51"/>
    <x v="3"/>
    <s v="Female"/>
    <x v="0"/>
  </r>
  <r>
    <s v="11138"/>
    <m/>
    <s v="Self"/>
    <m/>
    <s v="06/03/2001"/>
    <n v="24"/>
    <x v="2"/>
    <s v="Male"/>
    <x v="0"/>
  </r>
  <r>
    <s v="11138"/>
    <m/>
    <s v="Father"/>
    <m/>
    <s v="01/06/1972"/>
    <n v="52"/>
    <x v="3"/>
    <s v="Male"/>
    <x v="0"/>
  </r>
  <r>
    <s v="11138"/>
    <m/>
    <s v="Mother"/>
    <m/>
    <s v="01/03/1980"/>
    <n v="45"/>
    <x v="6"/>
    <s v="Female"/>
    <x v="0"/>
  </r>
  <r>
    <s v="12003"/>
    <m/>
    <s v="Self"/>
    <m/>
    <s v="10/03/1972"/>
    <n v="53"/>
    <x v="3"/>
    <s v="Male"/>
    <x v="0"/>
  </r>
  <r>
    <s v="12003"/>
    <m/>
    <s v="Wife"/>
    <m/>
    <s v="05/04/1983"/>
    <n v="42"/>
    <x v="6"/>
    <s v="Female"/>
    <x v="0"/>
  </r>
  <r>
    <s v="12004"/>
    <m/>
    <s v="Self"/>
    <m/>
    <s v="08/09/1977"/>
    <n v="47"/>
    <x v="8"/>
    <s v="Male"/>
    <x v="0"/>
  </r>
  <r>
    <s v="12004"/>
    <m/>
    <s v="Wife"/>
    <m/>
    <s v="21/03/1982"/>
    <n v="43"/>
    <x v="6"/>
    <s v="Female"/>
    <x v="0"/>
  </r>
  <r>
    <s v="12004"/>
    <m/>
    <s v="Son"/>
    <m/>
    <s v="21/10/1998"/>
    <n v="26"/>
    <x v="2"/>
    <s v="Male"/>
    <x v="0"/>
  </r>
  <r>
    <s v="12004"/>
    <m/>
    <s v="Son"/>
    <m/>
    <s v="28/08/2004"/>
    <n v="20"/>
    <x v="11"/>
    <s v="Male"/>
    <x v="0"/>
  </r>
  <r>
    <s v="12005"/>
    <m/>
    <s v="Self"/>
    <m/>
    <s v="02/06/1985"/>
    <n v="39"/>
    <x v="1"/>
    <s v="Male"/>
    <x v="0"/>
  </r>
  <r>
    <s v="12005"/>
    <m/>
    <s v="Father"/>
    <m/>
    <s v="01/11/1950"/>
    <n v="74"/>
    <x v="7"/>
    <s v="Male"/>
    <x v="0"/>
  </r>
  <r>
    <s v="12005"/>
    <m/>
    <s v="Mother"/>
    <m/>
    <s v="04/09/1958"/>
    <n v="66"/>
    <x v="10"/>
    <s v="Female"/>
    <x v="0"/>
  </r>
  <r>
    <s v="12006"/>
    <m/>
    <s v="Self"/>
    <m/>
    <s v="13/01/1981"/>
    <n v="44"/>
    <x v="6"/>
    <s v="Male"/>
    <x v="0"/>
  </r>
  <r>
    <s v="12006"/>
    <m/>
    <s v="Wife"/>
    <m/>
    <s v="01/06/1989"/>
    <n v="35"/>
    <x v="4"/>
    <s v="Female"/>
    <x v="0"/>
  </r>
  <r>
    <s v="12006"/>
    <m/>
    <s v="Son"/>
    <m/>
    <s v="14/05/2013"/>
    <n v="11"/>
    <x v="9"/>
    <s v="Male"/>
    <x v="0"/>
  </r>
  <r>
    <s v="12006"/>
    <m/>
    <s v="Daughter"/>
    <m/>
    <s v="06/08/2011"/>
    <n v="13"/>
    <x v="9"/>
    <s v="Female"/>
    <x v="0"/>
  </r>
  <r>
    <s v="12006"/>
    <m/>
    <s v="Mother"/>
    <m/>
    <s v="01/01/1963"/>
    <n v="62"/>
    <x v="12"/>
    <s v="Female"/>
    <x v="0"/>
  </r>
  <r>
    <s v="12009"/>
    <m/>
    <s v="Self"/>
    <m/>
    <s v="13/04/1988"/>
    <n v="37"/>
    <x v="1"/>
    <s v="Male"/>
    <x v="0"/>
  </r>
  <r>
    <s v="12009"/>
    <m/>
    <s v="Wife"/>
    <m/>
    <s v="18/04/1997"/>
    <n v="27"/>
    <x v="2"/>
    <s v="Female"/>
    <x v="0"/>
  </r>
  <r>
    <s v="12009"/>
    <m/>
    <s v="Son"/>
    <m/>
    <s v="19/04/2017"/>
    <n v="7"/>
    <x v="9"/>
    <s v="Male"/>
    <x v="0"/>
  </r>
  <r>
    <s v="12009"/>
    <m/>
    <s v="Son"/>
    <m/>
    <s v="16/12/2021"/>
    <n v="3"/>
    <x v="9"/>
    <s v="Male"/>
    <x v="0"/>
  </r>
  <r>
    <s v="12009"/>
    <m/>
    <s v="Father"/>
    <m/>
    <s v="01/11/1962"/>
    <n v="62"/>
    <x v="12"/>
    <s v="Male"/>
    <x v="0"/>
  </r>
  <r>
    <s v="12009"/>
    <m/>
    <s v="Mother"/>
    <m/>
    <s v="01/01/1970"/>
    <n v="55"/>
    <x v="3"/>
    <s v="Female"/>
    <x v="0"/>
  </r>
  <r>
    <s v="12034"/>
    <m/>
    <s v="Self"/>
    <m/>
    <s v="04/01/1984"/>
    <n v="41"/>
    <x v="6"/>
    <s v="Male"/>
    <x v="0"/>
  </r>
  <r>
    <s v="12034"/>
    <m/>
    <s v="Wife"/>
    <m/>
    <s v="04/05/1995"/>
    <n v="29"/>
    <x v="4"/>
    <s v="Female"/>
    <x v="0"/>
  </r>
  <r>
    <s v="12034"/>
    <m/>
    <s v="Daughter"/>
    <m/>
    <s v="27/06/2018"/>
    <n v="6"/>
    <x v="9"/>
    <s v="Female"/>
    <x v="0"/>
  </r>
  <r>
    <s v="12034"/>
    <m/>
    <s v="Father"/>
    <m/>
    <s v="11/02/1952"/>
    <n v="73"/>
    <x v="7"/>
    <s v="Male"/>
    <x v="0"/>
  </r>
  <r>
    <s v="12034"/>
    <m/>
    <s v="Mother"/>
    <m/>
    <s v="17/04/1970"/>
    <n v="55"/>
    <x v="3"/>
    <s v="Female"/>
    <x v="0"/>
  </r>
  <r>
    <s v="13000"/>
    <m/>
    <s v="Self"/>
    <m/>
    <s v="25/06/1996"/>
    <n v="28"/>
    <x v="2"/>
    <s v="Male"/>
    <x v="0"/>
  </r>
  <r>
    <s v="13000"/>
    <m/>
    <s v="Mother"/>
    <m/>
    <s v="01/06/1979"/>
    <n v="45"/>
    <x v="6"/>
    <s v="Female"/>
    <x v="0"/>
  </r>
  <r>
    <s v="14004"/>
    <m/>
    <s v="Father"/>
    <m/>
    <s v="13/07/1972"/>
    <n v="52"/>
    <x v="3"/>
    <s v="Male"/>
    <x v="0"/>
  </r>
  <r>
    <s v="14004"/>
    <m/>
    <s v="Mother"/>
    <m/>
    <s v="01/01/1975"/>
    <n v="50"/>
    <x v="8"/>
    <s v="Female"/>
    <x v="0"/>
  </r>
  <r>
    <s v="11065"/>
    <m/>
    <s v="Daughter"/>
    <m/>
    <s v="18/08/2022"/>
    <n v="2"/>
    <x v="9"/>
    <s v="Female"/>
    <x v="0"/>
  </r>
  <r>
    <s v="11139"/>
    <m/>
    <s v="Self"/>
    <m/>
    <s v="21/04/1998"/>
    <n v="26"/>
    <x v="2"/>
    <s v="Male"/>
    <x v="0"/>
  </r>
  <r>
    <s v="11139"/>
    <m/>
    <s v="Father"/>
    <m/>
    <s v="01/06/1962"/>
    <n v="62"/>
    <x v="12"/>
    <s v="Male"/>
    <x v="0"/>
  </r>
  <r>
    <s v="11139"/>
    <m/>
    <s v="Mother"/>
    <m/>
    <s v="22/07/1982"/>
    <n v="42"/>
    <x v="6"/>
    <s v="Female"/>
    <x v="0"/>
  </r>
  <r>
    <s v="11140"/>
    <m/>
    <s v="Self"/>
    <m/>
    <s v="20/05/1990"/>
    <n v="34"/>
    <x v="4"/>
    <s v="Male"/>
    <x v="0"/>
  </r>
  <r>
    <s v="11140"/>
    <m/>
    <s v="Mother"/>
    <m/>
    <s v="01/01/1953"/>
    <n v="72"/>
    <x v="7"/>
    <s v="Female"/>
    <x v="0"/>
  </r>
  <r>
    <s v="11141"/>
    <m/>
    <s v="Self"/>
    <m/>
    <s v="14/03/1999"/>
    <n v="26"/>
    <x v="2"/>
    <s v="Male"/>
    <x v="0"/>
  </r>
  <r>
    <s v="11141"/>
    <m/>
    <s v="Father"/>
    <m/>
    <s v="14/01/1970"/>
    <n v="55"/>
    <x v="3"/>
    <s v="Male"/>
    <x v="0"/>
  </r>
  <r>
    <s v="11141"/>
    <m/>
    <s v="Mother"/>
    <m/>
    <s v="21/10/1970"/>
    <n v="54"/>
    <x v="3"/>
    <s v="Female"/>
    <x v="0"/>
  </r>
  <r>
    <s v="11047"/>
    <m/>
    <s v="Mother"/>
    <m/>
    <s v="01/06/1959"/>
    <n v="65"/>
    <x v="12"/>
    <s v="Female"/>
    <x v="0"/>
  </r>
  <r>
    <s v="11083"/>
    <m/>
    <s v="Daughter"/>
    <m/>
    <s v="05/07/2010"/>
    <n v="14"/>
    <x v="9"/>
    <s v="Female"/>
    <x v="0"/>
  </r>
  <r>
    <s v="11083"/>
    <m/>
    <s v="Father"/>
    <m/>
    <s v="12/05/1952"/>
    <n v="72"/>
    <x v="7"/>
    <s v="Male"/>
    <x v="0"/>
  </r>
  <r>
    <s v="11103"/>
    <m/>
    <s v="Wife"/>
    <m/>
    <s v="01/03/1969"/>
    <n v="56"/>
    <x v="0"/>
    <s v="Female"/>
    <x v="0"/>
  </r>
  <r>
    <s v="11124"/>
    <m/>
    <s v="Mother"/>
    <m/>
    <s v="01/06/1971"/>
    <n v="53"/>
    <x v="3"/>
    <s v="Female"/>
    <x v="0"/>
  </r>
  <r>
    <s v="11130"/>
    <m/>
    <s v="Self"/>
    <m/>
    <s v="04/10/1996"/>
    <n v="28"/>
    <x v="2"/>
    <s v="Male"/>
    <x v="0"/>
  </r>
  <r>
    <s v="11130"/>
    <m/>
    <s v="Mother"/>
    <m/>
    <s v="04/10/1996"/>
    <n v="28"/>
    <x v="2"/>
    <s v="Female"/>
    <x v="0"/>
  </r>
  <r>
    <s v="14004"/>
    <m/>
    <s v="Wife"/>
    <m/>
    <s v="13/01/2004"/>
    <n v="21"/>
    <x v="11"/>
    <s v="Female"/>
    <x v="0"/>
  </r>
  <r>
    <s v="11083"/>
    <m/>
    <s v="Mother"/>
    <m/>
    <s v="15/10/1954"/>
    <n v="70"/>
    <x v="10"/>
    <s v="Female"/>
    <x v="0"/>
  </r>
  <r>
    <s v="11124"/>
    <m/>
    <s v="Father"/>
    <m/>
    <s v="01/06/1971"/>
    <n v="53"/>
    <x v="3"/>
    <s v="Male"/>
    <x v="0"/>
  </r>
  <r>
    <s v="11130"/>
    <m/>
    <s v="Father"/>
    <m/>
    <s v="01/05/1960"/>
    <n v="64"/>
    <x v="12"/>
    <s v="Male"/>
    <x v="0"/>
  </r>
  <r>
    <s v="11132"/>
    <m/>
    <s v="Self"/>
    <m/>
    <s v="12/11/2001"/>
    <n v="23"/>
    <x v="2"/>
    <s v="Male"/>
    <x v="0"/>
  </r>
  <r>
    <s v="14004"/>
    <m/>
    <s v="Self"/>
    <m/>
    <s v="20/08/2000"/>
    <n v="24"/>
    <x v="2"/>
    <s v="Male"/>
    <x v="0"/>
  </r>
  <r>
    <s v="11142"/>
    <m/>
    <s v="Self"/>
    <m/>
    <s v="02/11/2001"/>
    <n v="23"/>
    <x v="2"/>
    <s v="Male"/>
    <x v="0"/>
  </r>
  <r>
    <s v="11142"/>
    <m/>
    <s v="Father"/>
    <m/>
    <s v="03/11/1976"/>
    <n v="48"/>
    <x v="8"/>
    <s v="Male"/>
    <x v="0"/>
  </r>
  <r>
    <s v="11142"/>
    <m/>
    <s v="Mother"/>
    <m/>
    <s v="16/08/1981"/>
    <n v="43"/>
    <x v="6"/>
    <s v="Female"/>
    <x v="0"/>
  </r>
  <r>
    <s v="11143"/>
    <m/>
    <s v="Self"/>
    <m/>
    <s v="13/08/1999"/>
    <n v="25"/>
    <x v="2"/>
    <s v="Male"/>
    <x v="0"/>
  </r>
  <r>
    <s v="11143"/>
    <m/>
    <s v="Mother"/>
    <m/>
    <s v="05/12/1980"/>
    <n v="44"/>
    <x v="6"/>
    <s v="Female"/>
    <x v="0"/>
  </r>
  <r>
    <s v="11144"/>
    <m/>
    <s v="Self"/>
    <m/>
    <s v="05/01/1998"/>
    <n v="27"/>
    <x v="2"/>
    <s v="Male"/>
    <x v="0"/>
  </r>
  <r>
    <s v="11144"/>
    <m/>
    <s v="Mother In Law"/>
    <m/>
    <s v="10/05/1969"/>
    <n v="55"/>
    <x v="3"/>
    <s v="Female"/>
    <x v="0"/>
  </r>
  <r>
    <s v="11145"/>
    <m/>
    <s v="Self"/>
    <m/>
    <s v="12/10/1988"/>
    <n v="36"/>
    <x v="1"/>
    <s v="Male"/>
    <x v="0"/>
  </r>
  <r>
    <s v="11145"/>
    <m/>
    <s v="Wife"/>
    <m/>
    <s v="16/03/1991"/>
    <n v="34"/>
    <x v="4"/>
    <s v="Female"/>
    <x v="0"/>
  </r>
  <r>
    <s v="11145"/>
    <m/>
    <s v="Daughter"/>
    <m/>
    <s v="04/09/2014"/>
    <n v="10"/>
    <x v="9"/>
    <s v="Female"/>
    <x v="0"/>
  </r>
  <r>
    <s v="11145"/>
    <m/>
    <s v="Daughter"/>
    <m/>
    <s v="11/11/2020"/>
    <n v="4"/>
    <x v="9"/>
    <s v="Female"/>
    <x v="0"/>
  </r>
  <r>
    <s v="11145"/>
    <m/>
    <s v="Father"/>
    <m/>
    <s v="26/03/1954"/>
    <n v="71"/>
    <x v="7"/>
    <s v="Male"/>
    <x v="0"/>
  </r>
  <r>
    <s v="11145"/>
    <m/>
    <s v="Mother"/>
    <m/>
    <s v="08/03/1958"/>
    <n v="67"/>
    <x v="10"/>
    <s v="Female"/>
    <x v="0"/>
  </r>
  <r>
    <s v="11146"/>
    <m/>
    <s v="Self"/>
    <m/>
    <d v="1990-06-11T00:00:00"/>
    <n v="34"/>
    <x v="4"/>
    <s v="Male"/>
    <x v="0"/>
  </r>
  <r>
    <s v="11147"/>
    <m/>
    <s v="Spouse"/>
    <m/>
    <d v="1990-04-29T00:00:00"/>
    <n v="34"/>
    <x v="4"/>
    <s v="Female"/>
    <x v="0"/>
  </r>
  <r>
    <s v="11148"/>
    <m/>
    <s v="Doughter"/>
    <m/>
    <d v="2020-02-17T00:00:00"/>
    <n v="5"/>
    <x v="9"/>
    <s v="Female"/>
    <x v="0"/>
  </r>
  <r>
    <s v="11149"/>
    <m/>
    <s v="Son"/>
    <m/>
    <d v="2024-11-12T00:00:00"/>
    <n v="0"/>
    <x v="9"/>
    <s v="Male"/>
    <x v="0"/>
  </r>
  <r>
    <s v="11150"/>
    <m/>
    <s v="Father"/>
    <m/>
    <d v="1957-06-01T00:00:00"/>
    <n v="67"/>
    <x v="10"/>
    <s v="Male"/>
    <x v="0"/>
  </r>
  <r>
    <s v="11151"/>
    <m/>
    <s v="Mother"/>
    <m/>
    <d v="1965-05-24T00:00:00"/>
    <n v="59"/>
    <x v="0"/>
    <s v="Femal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D2CD7-AA65-44F9-A7DA-4FF88A0202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C16" firstHeaderRow="1" firstDataRow="2" firstDataCol="1"/>
  <pivotFields count="9">
    <pivotField showAll="0"/>
    <pivotField showAll="0"/>
    <pivotField showAll="0"/>
    <pivotField showAll="0"/>
    <pivotField showAll="0"/>
    <pivotField dataField="1" showAll="0"/>
    <pivotField axis="axisRow" showAll="0">
      <items count="14">
        <item x="5"/>
        <item x="9"/>
        <item x="11"/>
        <item x="2"/>
        <item x="4"/>
        <item x="1"/>
        <item x="6"/>
        <item x="8"/>
        <item x="3"/>
        <item x="0"/>
        <item x="12"/>
        <item x="10"/>
        <item x="7"/>
        <item t="default"/>
      </items>
    </pivotField>
    <pivotField showAll="0"/>
    <pivotField axis="axisCol" showAll="0">
      <items count="2">
        <item x="0"/>
        <item t="default"/>
      </items>
    </pivotField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8"/>
  </colFields>
  <colItems count="2">
    <i>
      <x/>
    </i>
    <i t="grand">
      <x/>
    </i>
  </colItems>
  <dataFields count="1">
    <dataField name="Count of Age" fld="5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6"/>
  <sheetViews>
    <sheetView workbookViewId="0">
      <selection activeCell="D16" sqref="D16"/>
    </sheetView>
  </sheetViews>
  <sheetFormatPr defaultColWidth="9.85546875" defaultRowHeight="15" customHeight="1"/>
  <cols>
    <col min="1" max="1" width="13.140625" style="20" customWidth="1"/>
    <col min="2" max="2" width="28.42578125" style="20" customWidth="1"/>
    <col min="3" max="3" width="13.140625" style="20" customWidth="1"/>
    <col min="4" max="4" width="28.42578125" style="20" customWidth="1"/>
    <col min="5" max="5" width="27" style="21" bestFit="1" customWidth="1"/>
    <col min="6" max="7" width="13.140625" style="22" customWidth="1"/>
    <col min="8" max="8" width="13.140625" style="20" customWidth="1"/>
    <col min="9" max="9" width="16.28515625" style="20" bestFit="1" customWidth="1"/>
    <col min="10" max="16384" width="9.85546875" style="20"/>
  </cols>
  <sheetData>
    <row r="1" spans="1:13" s="19" customFormat="1" ht="18" customHeight="1">
      <c r="A1" s="47" t="s">
        <v>36</v>
      </c>
      <c r="B1" s="47" t="s">
        <v>37</v>
      </c>
      <c r="C1" s="47" t="s">
        <v>33</v>
      </c>
      <c r="D1" s="47" t="s">
        <v>38</v>
      </c>
      <c r="E1" s="48" t="s">
        <v>39</v>
      </c>
      <c r="F1" s="49" t="s">
        <v>34</v>
      </c>
      <c r="G1" s="18" t="s">
        <v>59</v>
      </c>
      <c r="H1" s="47" t="s">
        <v>35</v>
      </c>
      <c r="I1" s="38" t="s">
        <v>55</v>
      </c>
    </row>
    <row r="2" spans="1:13" ht="15" customHeight="1">
      <c r="A2" s="63" t="s">
        <v>565</v>
      </c>
      <c r="B2" s="64"/>
      <c r="C2" s="63" t="s">
        <v>57</v>
      </c>
      <c r="D2" s="64"/>
      <c r="E2" s="63" t="s">
        <v>763</v>
      </c>
      <c r="F2" s="63">
        <f ca="1">ROUNDDOWN((TODAY() - E2)/365.25,0)</f>
        <v>57</v>
      </c>
      <c r="G2" s="62" t="str">
        <f ca="1">VLOOKUP(F2,$L$6:$M$16,2,1)</f>
        <v>46-50</v>
      </c>
      <c r="H2" s="63" t="s">
        <v>45</v>
      </c>
      <c r="I2" t="s">
        <v>773</v>
      </c>
    </row>
    <row r="3" spans="1:13">
      <c r="A3" s="63" t="s">
        <v>565</v>
      </c>
      <c r="B3" s="64"/>
      <c r="C3" s="63" t="s">
        <v>77</v>
      </c>
      <c r="D3" s="65"/>
      <c r="E3" s="63" t="s">
        <v>614</v>
      </c>
      <c r="F3" s="61">
        <f>'[1]Employee Data'!$F$2</f>
        <v>36</v>
      </c>
      <c r="G3" s="62" t="str">
        <f>VLOOKUP(F3,$L$6:$M$16,2,1)</f>
        <v>36-40</v>
      </c>
      <c r="H3" s="63" t="s">
        <v>46</v>
      </c>
      <c r="I3" t="s">
        <v>773</v>
      </c>
    </row>
    <row r="4" spans="1:13">
      <c r="A4" s="63" t="s">
        <v>565</v>
      </c>
      <c r="B4" s="64"/>
      <c r="C4" s="63" t="s">
        <v>53</v>
      </c>
      <c r="D4" s="65"/>
      <c r="E4" s="63" t="s">
        <v>615</v>
      </c>
      <c r="F4" s="63">
        <f ca="1">ROUNDDOWN((TODAY() - E4)/365.25,0)</f>
        <v>23</v>
      </c>
      <c r="G4" s="62" t="str">
        <f ca="1">VLOOKUP(F4,$L$6:$M$16,2,1)</f>
        <v>23-28</v>
      </c>
      <c r="H4" s="63" t="s">
        <v>45</v>
      </c>
      <c r="I4" t="s">
        <v>773</v>
      </c>
    </row>
    <row r="5" spans="1:13" ht="15.75" thickBot="1">
      <c r="A5" s="63" t="s">
        <v>566</v>
      </c>
      <c r="B5" s="64"/>
      <c r="C5" s="63" t="s">
        <v>57</v>
      </c>
      <c r="D5" s="65"/>
      <c r="E5" s="63" t="s">
        <v>616</v>
      </c>
      <c r="F5" s="63">
        <f ca="1">ROUNDDOWN((TODAY() - E5)/365.25,0)</f>
        <v>56</v>
      </c>
      <c r="G5" s="62" t="str">
        <f ca="1">VLOOKUP(F5,$L$6:$M$16,2,1)</f>
        <v>46-50</v>
      </c>
      <c r="H5" s="63" t="s">
        <v>45</v>
      </c>
      <c r="I5" t="s">
        <v>773</v>
      </c>
    </row>
    <row r="6" spans="1:13">
      <c r="A6" s="63" t="s">
        <v>566</v>
      </c>
      <c r="B6" s="64"/>
      <c r="C6" s="63" t="s">
        <v>77</v>
      </c>
      <c r="D6" s="65"/>
      <c r="E6" s="63" t="s">
        <v>617</v>
      </c>
      <c r="F6" s="63">
        <f t="shared" ref="F6:F53" ca="1" si="0">ROUNDDOWN((TODAY() - E6)/365.25,0)</f>
        <v>51</v>
      </c>
      <c r="G6" s="62" t="str">
        <f ca="1">VLOOKUP(F6,$L$6:$M$16,2,1)</f>
        <v>46-50</v>
      </c>
      <c r="H6" s="63" t="s">
        <v>46</v>
      </c>
      <c r="I6" t="s">
        <v>773</v>
      </c>
      <c r="L6" s="51">
        <v>0</v>
      </c>
      <c r="M6" s="52" t="s">
        <v>62</v>
      </c>
    </row>
    <row r="7" spans="1:13">
      <c r="A7" s="63" t="s">
        <v>566</v>
      </c>
      <c r="B7" s="64"/>
      <c r="C7" s="63" t="s">
        <v>53</v>
      </c>
      <c r="D7" s="65"/>
      <c r="E7" s="63" t="s">
        <v>618</v>
      </c>
      <c r="F7" s="63">
        <f t="shared" ca="1" si="0"/>
        <v>31</v>
      </c>
      <c r="G7" s="62" t="str">
        <f ca="1">VLOOKUP(F7,$L$6:$M$16,2,1)</f>
        <v>29-35</v>
      </c>
      <c r="H7" s="63" t="s">
        <v>45</v>
      </c>
      <c r="I7" t="s">
        <v>773</v>
      </c>
      <c r="L7" s="53">
        <v>19</v>
      </c>
      <c r="M7" s="54" t="s">
        <v>63</v>
      </c>
    </row>
    <row r="8" spans="1:13">
      <c r="A8" s="63" t="s">
        <v>566</v>
      </c>
      <c r="B8" s="64"/>
      <c r="C8" s="63" t="s">
        <v>53</v>
      </c>
      <c r="D8" s="65"/>
      <c r="E8" s="63" t="s">
        <v>619</v>
      </c>
      <c r="F8" s="63">
        <f t="shared" ca="1" si="0"/>
        <v>25</v>
      </c>
      <c r="G8" s="62" t="str">
        <f ca="1">VLOOKUP(F8,$L$6:$M$16,2,1)</f>
        <v>23-28</v>
      </c>
      <c r="H8" s="63" t="s">
        <v>45</v>
      </c>
      <c r="I8" t="s">
        <v>773</v>
      </c>
      <c r="L8" s="53">
        <v>23</v>
      </c>
      <c r="M8" s="54" t="s">
        <v>64</v>
      </c>
    </row>
    <row r="9" spans="1:13">
      <c r="A9" s="63" t="s">
        <v>567</v>
      </c>
      <c r="B9" s="64"/>
      <c r="C9" s="63" t="s">
        <v>57</v>
      </c>
      <c r="D9" s="65"/>
      <c r="E9" s="63" t="s">
        <v>620</v>
      </c>
      <c r="F9" s="63">
        <f t="shared" ca="1" si="0"/>
        <v>54</v>
      </c>
      <c r="G9" s="62" t="str">
        <f ca="1">VLOOKUP(F9,$L$6:$M$16,2,1)</f>
        <v>46-50</v>
      </c>
      <c r="H9" s="63" t="s">
        <v>46</v>
      </c>
      <c r="I9" t="s">
        <v>773</v>
      </c>
      <c r="L9" s="53">
        <v>29</v>
      </c>
      <c r="M9" s="54" t="s">
        <v>65</v>
      </c>
    </row>
    <row r="10" spans="1:13">
      <c r="A10" s="63" t="s">
        <v>567</v>
      </c>
      <c r="B10" s="64"/>
      <c r="C10" s="63" t="s">
        <v>612</v>
      </c>
      <c r="D10" s="63"/>
      <c r="E10" s="63" t="s">
        <v>621</v>
      </c>
      <c r="F10" s="63">
        <f t="shared" ca="1" si="0"/>
        <v>58</v>
      </c>
      <c r="G10" s="62" t="str">
        <f ca="1">VLOOKUP(F10,$L$6:$M$16,2,1)</f>
        <v>46-50</v>
      </c>
      <c r="H10" s="63" t="s">
        <v>45</v>
      </c>
      <c r="I10" t="s">
        <v>773</v>
      </c>
      <c r="L10" s="53">
        <v>36</v>
      </c>
      <c r="M10" s="54" t="s">
        <v>66</v>
      </c>
    </row>
    <row r="11" spans="1:13">
      <c r="A11" s="63" t="s">
        <v>567</v>
      </c>
      <c r="B11" s="64"/>
      <c r="C11" s="63" t="s">
        <v>53</v>
      </c>
      <c r="D11" s="63"/>
      <c r="E11" s="63" t="s">
        <v>622</v>
      </c>
      <c r="F11" s="63">
        <f t="shared" ca="1" si="0"/>
        <v>30</v>
      </c>
      <c r="G11" s="62" t="str">
        <f ca="1">VLOOKUP(F11,$L$6:$M$16,2,1)</f>
        <v>29-35</v>
      </c>
      <c r="H11" s="63" t="s">
        <v>45</v>
      </c>
      <c r="I11" t="s">
        <v>773</v>
      </c>
      <c r="L11" s="53">
        <v>41</v>
      </c>
      <c r="M11" s="54" t="s">
        <v>67</v>
      </c>
    </row>
    <row r="12" spans="1:13">
      <c r="A12" s="63" t="s">
        <v>567</v>
      </c>
      <c r="B12" s="64"/>
      <c r="C12" s="63" t="s">
        <v>53</v>
      </c>
      <c r="D12" s="63"/>
      <c r="E12" s="63" t="s">
        <v>623</v>
      </c>
      <c r="F12" s="63">
        <f t="shared" ca="1" si="0"/>
        <v>23</v>
      </c>
      <c r="G12" s="62" t="str">
        <f ca="1">VLOOKUP(F12,$L$6:$M$16,2,1)</f>
        <v>23-28</v>
      </c>
      <c r="H12" s="63" t="s">
        <v>45</v>
      </c>
      <c r="I12" t="s">
        <v>773</v>
      </c>
      <c r="L12" s="53">
        <v>46</v>
      </c>
      <c r="M12" s="54" t="s">
        <v>68</v>
      </c>
    </row>
    <row r="13" spans="1:13">
      <c r="A13" s="63" t="s">
        <v>430</v>
      </c>
      <c r="B13" s="64"/>
      <c r="C13" s="63" t="s">
        <v>57</v>
      </c>
      <c r="D13" s="63"/>
      <c r="E13" s="63" t="s">
        <v>624</v>
      </c>
      <c r="F13" s="63">
        <f t="shared" ca="1" si="0"/>
        <v>53</v>
      </c>
      <c r="G13" s="62" t="str">
        <f ca="1">VLOOKUP(F13,$L$6:$M$16,2,1)</f>
        <v>46-50</v>
      </c>
      <c r="H13" s="63" t="s">
        <v>45</v>
      </c>
      <c r="I13" t="s">
        <v>773</v>
      </c>
      <c r="L13" s="53">
        <v>61</v>
      </c>
      <c r="M13" s="54" t="s">
        <v>71</v>
      </c>
    </row>
    <row r="14" spans="1:13">
      <c r="A14" s="63" t="s">
        <v>430</v>
      </c>
      <c r="B14" s="64"/>
      <c r="C14" s="63" t="s">
        <v>77</v>
      </c>
      <c r="D14" s="63"/>
      <c r="E14" s="63" t="s">
        <v>625</v>
      </c>
      <c r="F14" s="63">
        <f t="shared" ca="1" si="0"/>
        <v>45</v>
      </c>
      <c r="G14" s="62" t="str">
        <f ca="1">VLOOKUP(F14,$L$6:$M$16,2,1)</f>
        <v>41-45</v>
      </c>
      <c r="H14" s="63" t="s">
        <v>46</v>
      </c>
      <c r="I14" t="s">
        <v>773</v>
      </c>
      <c r="L14" s="53">
        <v>66</v>
      </c>
      <c r="M14" s="54" t="s">
        <v>72</v>
      </c>
    </row>
    <row r="15" spans="1:13">
      <c r="A15" s="63" t="s">
        <v>430</v>
      </c>
      <c r="B15" s="64"/>
      <c r="C15" s="63" t="s">
        <v>53</v>
      </c>
      <c r="D15" s="63"/>
      <c r="E15" s="63" t="s">
        <v>626</v>
      </c>
      <c r="F15" s="63">
        <f t="shared" ca="1" si="0"/>
        <v>26</v>
      </c>
      <c r="G15" s="62" t="str">
        <f ca="1">VLOOKUP(F15,$L$6:$M$16,2,1)</f>
        <v>23-28</v>
      </c>
      <c r="H15" s="63" t="s">
        <v>45</v>
      </c>
      <c r="I15" t="s">
        <v>773</v>
      </c>
      <c r="L15" s="53">
        <v>71</v>
      </c>
      <c r="M15" s="54" t="s">
        <v>73</v>
      </c>
    </row>
    <row r="16" spans="1:13" ht="15.75" thickBot="1">
      <c r="A16" s="63" t="s">
        <v>430</v>
      </c>
      <c r="B16" s="64"/>
      <c r="C16" s="63" t="s">
        <v>52</v>
      </c>
      <c r="D16" s="66"/>
      <c r="E16" s="63" t="s">
        <v>627</v>
      </c>
      <c r="F16" s="63">
        <f t="shared" ca="1" si="0"/>
        <v>25</v>
      </c>
      <c r="G16" s="62" t="str">
        <f ca="1">VLOOKUP(F16,$L$6:$M$16,2,1)</f>
        <v>23-28</v>
      </c>
      <c r="H16" s="63" t="s">
        <v>46</v>
      </c>
      <c r="I16" t="s">
        <v>773</v>
      </c>
      <c r="L16" s="55">
        <v>75</v>
      </c>
      <c r="M16" s="56" t="s">
        <v>74</v>
      </c>
    </row>
    <row r="17" spans="1:9">
      <c r="A17" s="63" t="s">
        <v>455</v>
      </c>
      <c r="B17" s="64"/>
      <c r="C17" s="63" t="s">
        <v>57</v>
      </c>
      <c r="D17" s="66"/>
      <c r="E17" s="63" t="s">
        <v>628</v>
      </c>
      <c r="F17" s="63">
        <f t="shared" ca="1" si="0"/>
        <v>55</v>
      </c>
      <c r="G17" s="62" t="str">
        <f ca="1">VLOOKUP(F17,$L$6:$M$16,2,1)</f>
        <v>46-50</v>
      </c>
      <c r="H17" s="63" t="s">
        <v>45</v>
      </c>
      <c r="I17" t="s">
        <v>773</v>
      </c>
    </row>
    <row r="18" spans="1:9">
      <c r="A18" s="63" t="s">
        <v>455</v>
      </c>
      <c r="B18" s="64"/>
      <c r="C18" s="63" t="s">
        <v>77</v>
      </c>
      <c r="D18" s="66"/>
      <c r="E18" s="63" t="s">
        <v>629</v>
      </c>
      <c r="F18" s="63">
        <f t="shared" ca="1" si="0"/>
        <v>49</v>
      </c>
      <c r="G18" s="62" t="str">
        <f ca="1">VLOOKUP(F18,$L$6:$M$16,2,1)</f>
        <v>46-50</v>
      </c>
      <c r="H18" s="63" t="s">
        <v>46</v>
      </c>
      <c r="I18" t="s">
        <v>773</v>
      </c>
    </row>
    <row r="19" spans="1:9">
      <c r="A19" s="63" t="s">
        <v>455</v>
      </c>
      <c r="B19" s="64"/>
      <c r="C19" s="63" t="s">
        <v>53</v>
      </c>
      <c r="D19" s="66"/>
      <c r="E19" s="63" t="s">
        <v>630</v>
      </c>
      <c r="F19" s="63">
        <f t="shared" ca="1" si="0"/>
        <v>16</v>
      </c>
      <c r="G19" s="62" t="str">
        <f ca="1">VLOOKUP(F19,$L$6:$M$16,2,1)</f>
        <v>0-18</v>
      </c>
      <c r="H19" s="63" t="s">
        <v>45</v>
      </c>
      <c r="I19" t="s">
        <v>773</v>
      </c>
    </row>
    <row r="20" spans="1:9">
      <c r="A20" s="63" t="s">
        <v>455</v>
      </c>
      <c r="B20" s="64"/>
      <c r="C20" s="63" t="s">
        <v>52</v>
      </c>
      <c r="D20" s="67"/>
      <c r="E20" s="63" t="s">
        <v>631</v>
      </c>
      <c r="F20" s="63">
        <f t="shared" ca="1" si="0"/>
        <v>24</v>
      </c>
      <c r="G20" s="62" t="str">
        <f ca="1">VLOOKUP(F20,$L$6:$M$16,2,1)</f>
        <v>23-28</v>
      </c>
      <c r="H20" s="63" t="s">
        <v>46</v>
      </c>
      <c r="I20" t="s">
        <v>773</v>
      </c>
    </row>
    <row r="21" spans="1:9">
      <c r="A21" s="63" t="s">
        <v>568</v>
      </c>
      <c r="B21" s="64"/>
      <c r="C21" s="63" t="s">
        <v>57</v>
      </c>
      <c r="D21" s="63"/>
      <c r="E21" s="63" t="s">
        <v>632</v>
      </c>
      <c r="F21" s="63">
        <f t="shared" ca="1" si="0"/>
        <v>46</v>
      </c>
      <c r="G21" s="62" t="str">
        <f ca="1">VLOOKUP(F21,$L$6:$M$16,2,1)</f>
        <v>46-50</v>
      </c>
      <c r="H21" s="63" t="s">
        <v>45</v>
      </c>
      <c r="I21" t="s">
        <v>773</v>
      </c>
    </row>
    <row r="22" spans="1:9">
      <c r="A22" s="63" t="s">
        <v>568</v>
      </c>
      <c r="B22" s="64"/>
      <c r="C22" s="63" t="s">
        <v>77</v>
      </c>
      <c r="D22" s="63"/>
      <c r="E22" s="63" t="s">
        <v>633</v>
      </c>
      <c r="F22" s="63">
        <f t="shared" ca="1" si="0"/>
        <v>42</v>
      </c>
      <c r="G22" s="62" t="str">
        <f ca="1">VLOOKUP(F22,$L$6:$M$16,2,1)</f>
        <v>41-45</v>
      </c>
      <c r="H22" s="63" t="s">
        <v>46</v>
      </c>
      <c r="I22" t="s">
        <v>773</v>
      </c>
    </row>
    <row r="23" spans="1:9">
      <c r="A23" s="63" t="s">
        <v>568</v>
      </c>
      <c r="B23" s="64"/>
      <c r="C23" s="63" t="s">
        <v>53</v>
      </c>
      <c r="D23" s="63"/>
      <c r="E23" s="63" t="s">
        <v>634</v>
      </c>
      <c r="F23" s="63">
        <f t="shared" ca="1" si="0"/>
        <v>18</v>
      </c>
      <c r="G23" s="62" t="str">
        <f ca="1">VLOOKUP(F23,$L$6:$M$16,2,1)</f>
        <v>0-18</v>
      </c>
      <c r="H23" s="63" t="s">
        <v>45</v>
      </c>
      <c r="I23" t="s">
        <v>773</v>
      </c>
    </row>
    <row r="24" spans="1:9">
      <c r="A24" s="63" t="s">
        <v>568</v>
      </c>
      <c r="B24" s="64"/>
      <c r="C24" s="63" t="s">
        <v>52</v>
      </c>
      <c r="D24" s="63"/>
      <c r="E24" s="63" t="s">
        <v>635</v>
      </c>
      <c r="F24" s="63">
        <f t="shared" ca="1" si="0"/>
        <v>15</v>
      </c>
      <c r="G24" s="62" t="str">
        <f ca="1">VLOOKUP(F24,$L$6:$M$16,2,1)</f>
        <v>0-18</v>
      </c>
      <c r="H24" s="63" t="s">
        <v>46</v>
      </c>
      <c r="I24" t="s">
        <v>773</v>
      </c>
    </row>
    <row r="25" spans="1:9">
      <c r="A25" s="63" t="s">
        <v>569</v>
      </c>
      <c r="B25" s="64"/>
      <c r="C25" s="63" t="s">
        <v>57</v>
      </c>
      <c r="D25" s="63"/>
      <c r="E25" s="63" t="s">
        <v>636</v>
      </c>
      <c r="F25" s="63">
        <f t="shared" ca="1" si="0"/>
        <v>57</v>
      </c>
      <c r="G25" s="62" t="str">
        <f ca="1">VLOOKUP(F25,$L$6:$M$16,2,1)</f>
        <v>46-50</v>
      </c>
      <c r="H25" s="63" t="s">
        <v>45</v>
      </c>
      <c r="I25" t="s">
        <v>773</v>
      </c>
    </row>
    <row r="26" spans="1:9">
      <c r="A26" s="63" t="s">
        <v>569</v>
      </c>
      <c r="B26" s="64"/>
      <c r="C26" s="63" t="s">
        <v>77</v>
      </c>
      <c r="D26" s="63"/>
      <c r="E26" s="63" t="s">
        <v>637</v>
      </c>
      <c r="F26" s="63">
        <f t="shared" ca="1" si="0"/>
        <v>49</v>
      </c>
      <c r="G26" s="62" t="str">
        <f ca="1">VLOOKUP(F26,$L$6:$M$16,2,1)</f>
        <v>46-50</v>
      </c>
      <c r="H26" s="63" t="s">
        <v>46</v>
      </c>
      <c r="I26" t="s">
        <v>773</v>
      </c>
    </row>
    <row r="27" spans="1:9">
      <c r="A27" s="63" t="s">
        <v>569</v>
      </c>
      <c r="B27" s="64"/>
      <c r="C27" s="63" t="s">
        <v>52</v>
      </c>
      <c r="D27" s="63"/>
      <c r="E27" s="63" t="s">
        <v>638</v>
      </c>
      <c r="F27" s="63">
        <f t="shared" ca="1" si="0"/>
        <v>23</v>
      </c>
      <c r="G27" s="62" t="str">
        <f ca="1">VLOOKUP(F27,$L$6:$M$16,2,1)</f>
        <v>23-28</v>
      </c>
      <c r="H27" s="63" t="s">
        <v>46</v>
      </c>
      <c r="I27" t="s">
        <v>773</v>
      </c>
    </row>
    <row r="28" spans="1:9">
      <c r="A28" s="63" t="s">
        <v>504</v>
      </c>
      <c r="B28" s="64"/>
      <c r="C28" s="63" t="s">
        <v>57</v>
      </c>
      <c r="D28" s="63"/>
      <c r="E28" s="63" t="s">
        <v>639</v>
      </c>
      <c r="F28" s="63">
        <f t="shared" ca="1" si="0"/>
        <v>48</v>
      </c>
      <c r="G28" s="62" t="str">
        <f ca="1">VLOOKUP(F28,$L$6:$M$16,2,1)</f>
        <v>46-50</v>
      </c>
      <c r="H28" s="63" t="s">
        <v>45</v>
      </c>
      <c r="I28" t="s">
        <v>773</v>
      </c>
    </row>
    <row r="29" spans="1:9" ht="15" customHeight="1">
      <c r="A29" s="63" t="s">
        <v>504</v>
      </c>
      <c r="B29" s="64"/>
      <c r="C29" s="63" t="s">
        <v>77</v>
      </c>
      <c r="D29" s="64"/>
      <c r="E29" s="63" t="s">
        <v>640</v>
      </c>
      <c r="F29" s="63">
        <f t="shared" ca="1" si="0"/>
        <v>47</v>
      </c>
      <c r="G29" s="62" t="str">
        <f ca="1">VLOOKUP(F29,$L$6:$M$16,2,1)</f>
        <v>46-50</v>
      </c>
      <c r="H29" s="63" t="s">
        <v>46</v>
      </c>
      <c r="I29" t="s">
        <v>773</v>
      </c>
    </row>
    <row r="30" spans="1:9" ht="15" customHeight="1">
      <c r="A30" s="63" t="s">
        <v>504</v>
      </c>
      <c r="B30" s="64"/>
      <c r="C30" s="63" t="s">
        <v>53</v>
      </c>
      <c r="D30" s="64"/>
      <c r="E30" s="63" t="s">
        <v>641</v>
      </c>
      <c r="F30" s="63">
        <f t="shared" ca="1" si="0"/>
        <v>24</v>
      </c>
      <c r="G30" s="62" t="str">
        <f ca="1">VLOOKUP(F30,$L$6:$M$16,2,1)</f>
        <v>23-28</v>
      </c>
      <c r="H30" s="63" t="s">
        <v>45</v>
      </c>
      <c r="I30" t="s">
        <v>773</v>
      </c>
    </row>
    <row r="31" spans="1:9" ht="15" customHeight="1">
      <c r="A31" s="63" t="s">
        <v>538</v>
      </c>
      <c r="B31" s="64"/>
      <c r="C31" s="63" t="s">
        <v>57</v>
      </c>
      <c r="D31" s="64"/>
      <c r="E31" s="63" t="s">
        <v>642</v>
      </c>
      <c r="F31" s="63">
        <f t="shared" ca="1" si="0"/>
        <v>54</v>
      </c>
      <c r="G31" s="62" t="str">
        <f ca="1">VLOOKUP(F31,$L$6:$M$16,2,1)</f>
        <v>46-50</v>
      </c>
      <c r="H31" s="63" t="s">
        <v>45</v>
      </c>
      <c r="I31" t="s">
        <v>773</v>
      </c>
    </row>
    <row r="32" spans="1:9" ht="15" customHeight="1">
      <c r="A32" s="63" t="s">
        <v>538</v>
      </c>
      <c r="B32" s="64"/>
      <c r="C32" s="63" t="s">
        <v>77</v>
      </c>
      <c r="D32" s="64"/>
      <c r="E32" s="63" t="s">
        <v>643</v>
      </c>
      <c r="F32" s="63">
        <f t="shared" ca="1" si="0"/>
        <v>47</v>
      </c>
      <c r="G32" s="62" t="str">
        <f ca="1">VLOOKUP(F32,$L$6:$M$16,2,1)</f>
        <v>46-50</v>
      </c>
      <c r="H32" s="63" t="s">
        <v>46</v>
      </c>
      <c r="I32" t="s">
        <v>773</v>
      </c>
    </row>
    <row r="33" spans="1:9" ht="15" customHeight="1">
      <c r="A33" s="63" t="s">
        <v>538</v>
      </c>
      <c r="B33" s="64"/>
      <c r="C33" s="63" t="s">
        <v>52</v>
      </c>
      <c r="D33" s="64"/>
      <c r="E33" s="63" t="s">
        <v>644</v>
      </c>
      <c r="F33" s="63">
        <f t="shared" ca="1" si="0"/>
        <v>16</v>
      </c>
      <c r="G33" s="62" t="str">
        <f ca="1">VLOOKUP(F33,$L$6:$M$16,2,1)</f>
        <v>0-18</v>
      </c>
      <c r="H33" s="63" t="s">
        <v>46</v>
      </c>
      <c r="I33" t="s">
        <v>773</v>
      </c>
    </row>
    <row r="34" spans="1:9" ht="15" customHeight="1">
      <c r="A34" s="63" t="s">
        <v>135</v>
      </c>
      <c r="B34" s="64"/>
      <c r="C34" s="63" t="s">
        <v>57</v>
      </c>
      <c r="D34" s="64"/>
      <c r="E34" s="63" t="s">
        <v>645</v>
      </c>
      <c r="F34" s="63">
        <f t="shared" ca="1" si="0"/>
        <v>47</v>
      </c>
      <c r="G34" s="62" t="str">
        <f ca="1">VLOOKUP(F34,$L$6:$M$16,2,1)</f>
        <v>46-50</v>
      </c>
      <c r="H34" s="63" t="s">
        <v>45</v>
      </c>
      <c r="I34" t="s">
        <v>773</v>
      </c>
    </row>
    <row r="35" spans="1:9" ht="15" customHeight="1">
      <c r="A35" s="63" t="s">
        <v>135</v>
      </c>
      <c r="B35" s="64"/>
      <c r="C35" s="63" t="s">
        <v>77</v>
      </c>
      <c r="D35" s="64"/>
      <c r="E35" s="63" t="s">
        <v>633</v>
      </c>
      <c r="F35" s="63">
        <f t="shared" ca="1" si="0"/>
        <v>42</v>
      </c>
      <c r="G35" s="62" t="str">
        <f ca="1">VLOOKUP(F35,$L$6:$M$16,2,1)</f>
        <v>41-45</v>
      </c>
      <c r="H35" s="63" t="s">
        <v>46</v>
      </c>
      <c r="I35" t="s">
        <v>773</v>
      </c>
    </row>
    <row r="36" spans="1:9" ht="15" customHeight="1">
      <c r="A36" s="63" t="s">
        <v>135</v>
      </c>
      <c r="B36" s="64"/>
      <c r="C36" s="63" t="s">
        <v>53</v>
      </c>
      <c r="D36" s="64"/>
      <c r="E36" s="63" t="s">
        <v>646</v>
      </c>
      <c r="F36" s="63">
        <f t="shared" ca="1" si="0"/>
        <v>19</v>
      </c>
      <c r="G36" s="62" t="str">
        <f ca="1">VLOOKUP(F36,$L$6:$M$16,2,1)</f>
        <v>19-22</v>
      </c>
      <c r="H36" s="63" t="s">
        <v>45</v>
      </c>
      <c r="I36" t="s">
        <v>773</v>
      </c>
    </row>
    <row r="37" spans="1:9" ht="15" customHeight="1">
      <c r="A37" s="63" t="s">
        <v>570</v>
      </c>
      <c r="B37" s="64"/>
      <c r="C37" s="63" t="s">
        <v>57</v>
      </c>
      <c r="D37" s="64"/>
      <c r="E37" s="63" t="s">
        <v>647</v>
      </c>
      <c r="F37" s="63">
        <f t="shared" ca="1" si="0"/>
        <v>55</v>
      </c>
      <c r="G37" s="62" t="str">
        <f ca="1">VLOOKUP(F37,$L$6:$M$16,2,1)</f>
        <v>46-50</v>
      </c>
      <c r="H37" s="63" t="s">
        <v>45</v>
      </c>
      <c r="I37" t="s">
        <v>773</v>
      </c>
    </row>
    <row r="38" spans="1:9" ht="15" customHeight="1">
      <c r="A38" s="63" t="s">
        <v>570</v>
      </c>
      <c r="B38" s="64"/>
      <c r="C38" s="63" t="s">
        <v>77</v>
      </c>
      <c r="D38" s="64"/>
      <c r="E38" s="63" t="s">
        <v>648</v>
      </c>
      <c r="F38" s="63">
        <f t="shared" ca="1" si="0"/>
        <v>55</v>
      </c>
      <c r="G38" s="62" t="str">
        <f ca="1">VLOOKUP(F38,$L$6:$M$16,2,1)</f>
        <v>46-50</v>
      </c>
      <c r="H38" s="63" t="s">
        <v>46</v>
      </c>
      <c r="I38" t="s">
        <v>773</v>
      </c>
    </row>
    <row r="39" spans="1:9" ht="15" customHeight="1">
      <c r="A39" s="63" t="s">
        <v>570</v>
      </c>
      <c r="B39" s="64"/>
      <c r="C39" s="63" t="s">
        <v>52</v>
      </c>
      <c r="D39" s="64"/>
      <c r="E39" s="63" t="s">
        <v>649</v>
      </c>
      <c r="F39" s="63">
        <f t="shared" ca="1" si="0"/>
        <v>26</v>
      </c>
      <c r="G39" s="62" t="str">
        <f ca="1">VLOOKUP(F39,$L$6:$M$16,2,1)</f>
        <v>23-28</v>
      </c>
      <c r="H39" s="63" t="s">
        <v>46</v>
      </c>
      <c r="I39" t="s">
        <v>773</v>
      </c>
    </row>
    <row r="40" spans="1:9" ht="15" customHeight="1">
      <c r="A40" s="63" t="s">
        <v>176</v>
      </c>
      <c r="B40" s="64"/>
      <c r="C40" s="63" t="s">
        <v>57</v>
      </c>
      <c r="D40" s="64"/>
      <c r="E40" s="63" t="s">
        <v>650</v>
      </c>
      <c r="F40" s="63">
        <f t="shared" ca="1" si="0"/>
        <v>55</v>
      </c>
      <c r="G40" s="62" t="str">
        <f ca="1">VLOOKUP(F40,$L$6:$M$16,2,1)</f>
        <v>46-50</v>
      </c>
      <c r="H40" s="63" t="s">
        <v>46</v>
      </c>
      <c r="I40" t="s">
        <v>773</v>
      </c>
    </row>
    <row r="41" spans="1:9" ht="15" customHeight="1">
      <c r="A41" s="63" t="s">
        <v>176</v>
      </c>
      <c r="B41" s="64"/>
      <c r="C41" s="63" t="s">
        <v>612</v>
      </c>
      <c r="D41" s="64"/>
      <c r="E41" s="63" t="s">
        <v>651</v>
      </c>
      <c r="F41" s="63">
        <f t="shared" ca="1" si="0"/>
        <v>63</v>
      </c>
      <c r="G41" s="62" t="str">
        <f ca="1">VLOOKUP(F41,$L$6:$M$16,2,1)</f>
        <v>61-65</v>
      </c>
      <c r="H41" s="63" t="s">
        <v>45</v>
      </c>
      <c r="I41" t="s">
        <v>773</v>
      </c>
    </row>
    <row r="42" spans="1:9" ht="15" customHeight="1">
      <c r="A42" s="63" t="s">
        <v>176</v>
      </c>
      <c r="B42" s="64"/>
      <c r="C42" s="63" t="s">
        <v>53</v>
      </c>
      <c r="D42" s="64"/>
      <c r="E42" s="63" t="s">
        <v>652</v>
      </c>
      <c r="F42" s="63">
        <f t="shared" ca="1" si="0"/>
        <v>27</v>
      </c>
      <c r="G42" s="62" t="str">
        <f ca="1">VLOOKUP(F42,$L$6:$M$16,2,1)</f>
        <v>23-28</v>
      </c>
      <c r="H42" s="63" t="s">
        <v>45</v>
      </c>
      <c r="I42" t="s">
        <v>773</v>
      </c>
    </row>
    <row r="43" spans="1:9" ht="15" customHeight="1">
      <c r="A43" s="63" t="s">
        <v>571</v>
      </c>
      <c r="B43" s="64"/>
      <c r="C43" s="63" t="s">
        <v>57</v>
      </c>
      <c r="D43" s="64"/>
      <c r="E43" s="63" t="s">
        <v>653</v>
      </c>
      <c r="F43" s="63">
        <f t="shared" ca="1" si="0"/>
        <v>45</v>
      </c>
      <c r="G43" s="62" t="str">
        <f ca="1">VLOOKUP(F43,$L$6:$M$16,2,1)</f>
        <v>41-45</v>
      </c>
      <c r="H43" s="63" t="s">
        <v>45</v>
      </c>
      <c r="I43" t="s">
        <v>773</v>
      </c>
    </row>
    <row r="44" spans="1:9" ht="15" customHeight="1">
      <c r="A44" s="63" t="s">
        <v>571</v>
      </c>
      <c r="B44" s="64"/>
      <c r="C44" s="63" t="s">
        <v>77</v>
      </c>
      <c r="D44" s="64"/>
      <c r="E44" s="63" t="s">
        <v>654</v>
      </c>
      <c r="F44" s="63">
        <f t="shared" ca="1" si="0"/>
        <v>40</v>
      </c>
      <c r="G44" s="62" t="str">
        <f ca="1">VLOOKUP(F44,$L$6:$M$16,2,1)</f>
        <v>36-40</v>
      </c>
      <c r="H44" s="63" t="s">
        <v>46</v>
      </c>
      <c r="I44" t="s">
        <v>773</v>
      </c>
    </row>
    <row r="45" spans="1:9" ht="15" customHeight="1">
      <c r="A45" s="63" t="s">
        <v>571</v>
      </c>
      <c r="B45" s="64"/>
      <c r="C45" s="63" t="s">
        <v>52</v>
      </c>
      <c r="D45" s="64"/>
      <c r="E45" s="63" t="s">
        <v>655</v>
      </c>
      <c r="F45" s="63">
        <f t="shared" ca="1" si="0"/>
        <v>5</v>
      </c>
      <c r="G45" s="62" t="str">
        <f ca="1">VLOOKUP(F45,$L$6:$M$16,2,1)</f>
        <v>0-18</v>
      </c>
      <c r="H45" s="63" t="s">
        <v>46</v>
      </c>
      <c r="I45" t="s">
        <v>773</v>
      </c>
    </row>
    <row r="46" spans="1:9" ht="15" customHeight="1">
      <c r="A46" s="63" t="s">
        <v>217</v>
      </c>
      <c r="B46" s="64"/>
      <c r="C46" s="63" t="s">
        <v>57</v>
      </c>
      <c r="D46" s="64"/>
      <c r="E46" s="63" t="s">
        <v>656</v>
      </c>
      <c r="F46" s="63">
        <f t="shared" ca="1" si="0"/>
        <v>53</v>
      </c>
      <c r="G46" s="62" t="str">
        <f ca="1">VLOOKUP(F46,$L$6:$M$16,2,1)</f>
        <v>46-50</v>
      </c>
      <c r="H46" s="63" t="s">
        <v>45</v>
      </c>
      <c r="I46" t="s">
        <v>773</v>
      </c>
    </row>
    <row r="47" spans="1:9" ht="15" customHeight="1">
      <c r="A47" s="63" t="s">
        <v>217</v>
      </c>
      <c r="B47" s="64"/>
      <c r="C47" s="63" t="s">
        <v>77</v>
      </c>
      <c r="D47" s="64"/>
      <c r="E47" s="63" t="s">
        <v>657</v>
      </c>
      <c r="F47" s="63">
        <f t="shared" ca="1" si="0"/>
        <v>49</v>
      </c>
      <c r="G47" s="62" t="str">
        <f ca="1">VLOOKUP(F47,$L$6:$M$16,2,1)</f>
        <v>46-50</v>
      </c>
      <c r="H47" s="63" t="s">
        <v>46</v>
      </c>
      <c r="I47" t="s">
        <v>773</v>
      </c>
    </row>
    <row r="48" spans="1:9" ht="15" customHeight="1">
      <c r="A48" s="63" t="s">
        <v>217</v>
      </c>
      <c r="B48" s="64"/>
      <c r="C48" s="63" t="s">
        <v>52</v>
      </c>
      <c r="D48" s="64"/>
      <c r="E48" s="63" t="s">
        <v>658</v>
      </c>
      <c r="F48" s="63">
        <f t="shared" ca="1" si="0"/>
        <v>24</v>
      </c>
      <c r="G48" s="62" t="str">
        <f ca="1">VLOOKUP(F48,$L$6:$M$16,2,1)</f>
        <v>23-28</v>
      </c>
      <c r="H48" s="63" t="s">
        <v>46</v>
      </c>
      <c r="I48" t="s">
        <v>773</v>
      </c>
    </row>
    <row r="49" spans="1:9" ht="15" customHeight="1">
      <c r="A49" s="63" t="s">
        <v>217</v>
      </c>
      <c r="B49" s="64"/>
      <c r="C49" s="63" t="s">
        <v>52</v>
      </c>
      <c r="D49" s="64"/>
      <c r="E49" s="63" t="s">
        <v>659</v>
      </c>
      <c r="F49" s="63">
        <f t="shared" ca="1" si="0"/>
        <v>19</v>
      </c>
      <c r="G49" s="62" t="str">
        <f ca="1">VLOOKUP(F49,$L$6:$M$16,2,1)</f>
        <v>19-22</v>
      </c>
      <c r="H49" s="63" t="s">
        <v>46</v>
      </c>
      <c r="I49" t="s">
        <v>773</v>
      </c>
    </row>
    <row r="50" spans="1:9" ht="15" customHeight="1">
      <c r="A50" s="63" t="s">
        <v>572</v>
      </c>
      <c r="B50" s="64"/>
      <c r="C50" s="63" t="s">
        <v>57</v>
      </c>
      <c r="D50" s="64"/>
      <c r="E50" s="63" t="s">
        <v>660</v>
      </c>
      <c r="F50" s="63">
        <f t="shared" ca="1" si="0"/>
        <v>45</v>
      </c>
      <c r="G50" s="62" t="str">
        <f ca="1">VLOOKUP(F50,$L$6:$M$16,2,1)</f>
        <v>41-45</v>
      </c>
      <c r="H50" s="63" t="s">
        <v>45</v>
      </c>
      <c r="I50" t="s">
        <v>773</v>
      </c>
    </row>
    <row r="51" spans="1:9" ht="15" customHeight="1">
      <c r="A51" s="63" t="s">
        <v>572</v>
      </c>
      <c r="B51" s="64"/>
      <c r="C51" s="63" t="s">
        <v>77</v>
      </c>
      <c r="D51" s="64"/>
      <c r="E51" s="63" t="s">
        <v>661</v>
      </c>
      <c r="F51" s="63">
        <f t="shared" ca="1" si="0"/>
        <v>41</v>
      </c>
      <c r="G51" s="62" t="str">
        <f ca="1">VLOOKUP(F51,$L$6:$M$16,2,1)</f>
        <v>41-45</v>
      </c>
      <c r="H51" s="63" t="s">
        <v>46</v>
      </c>
      <c r="I51" t="s">
        <v>773</v>
      </c>
    </row>
    <row r="52" spans="1:9" ht="15" customHeight="1">
      <c r="A52" s="63" t="s">
        <v>572</v>
      </c>
      <c r="B52" s="64"/>
      <c r="C52" s="63" t="s">
        <v>53</v>
      </c>
      <c r="D52" s="64"/>
      <c r="E52" s="63" t="s">
        <v>662</v>
      </c>
      <c r="F52" s="63">
        <f t="shared" ca="1" si="0"/>
        <v>8</v>
      </c>
      <c r="G52" s="62" t="str">
        <f ca="1">VLOOKUP(F52,$L$6:$M$16,2,1)</f>
        <v>0-18</v>
      </c>
      <c r="H52" s="63" t="s">
        <v>45</v>
      </c>
      <c r="I52" t="s">
        <v>773</v>
      </c>
    </row>
    <row r="53" spans="1:9" ht="15" customHeight="1">
      <c r="A53" s="63" t="s">
        <v>572</v>
      </c>
      <c r="B53" s="64"/>
      <c r="C53" s="63" t="s">
        <v>52</v>
      </c>
      <c r="D53" s="64"/>
      <c r="E53" s="63" t="s">
        <v>663</v>
      </c>
      <c r="F53" s="63">
        <f t="shared" ca="1" si="0"/>
        <v>14</v>
      </c>
      <c r="G53" s="62" t="str">
        <f ca="1">VLOOKUP(F53,$L$6:$M$16,2,1)</f>
        <v>0-18</v>
      </c>
      <c r="H53" s="63" t="s">
        <v>46</v>
      </c>
      <c r="I53" t="s">
        <v>773</v>
      </c>
    </row>
    <row r="54" spans="1:9" ht="15" customHeight="1">
      <c r="A54" s="63" t="s">
        <v>259</v>
      </c>
      <c r="B54" s="64"/>
      <c r="C54" s="63" t="s">
        <v>57</v>
      </c>
      <c r="D54" s="64"/>
      <c r="E54" s="63" t="s">
        <v>664</v>
      </c>
      <c r="F54" s="63">
        <f t="shared" ref="F54:F97" ca="1" si="1">ROUNDDOWN((TODAY() - E54)/365.25,0)</f>
        <v>56</v>
      </c>
      <c r="G54" s="62" t="str">
        <f ca="1">VLOOKUP(F54,$L$6:$M$16,2,1)</f>
        <v>46-50</v>
      </c>
      <c r="H54" s="63" t="s">
        <v>45</v>
      </c>
      <c r="I54" t="s">
        <v>773</v>
      </c>
    </row>
    <row r="55" spans="1:9" ht="15" customHeight="1">
      <c r="A55" s="63" t="s">
        <v>259</v>
      </c>
      <c r="B55" s="64"/>
      <c r="C55" s="63" t="s">
        <v>77</v>
      </c>
      <c r="D55" s="64"/>
      <c r="E55" s="63" t="s">
        <v>665</v>
      </c>
      <c r="F55" s="63">
        <f t="shared" ca="1" si="1"/>
        <v>51</v>
      </c>
      <c r="G55" s="62" t="str">
        <f ca="1">VLOOKUP(F55,$L$6:$M$16,2,1)</f>
        <v>46-50</v>
      </c>
      <c r="H55" s="63" t="s">
        <v>46</v>
      </c>
      <c r="I55" t="s">
        <v>773</v>
      </c>
    </row>
    <row r="56" spans="1:9" ht="15" customHeight="1">
      <c r="A56" s="63" t="s">
        <v>259</v>
      </c>
      <c r="B56" s="64"/>
      <c r="C56" s="63" t="s">
        <v>53</v>
      </c>
      <c r="D56" s="64"/>
      <c r="E56" s="63" t="s">
        <v>666</v>
      </c>
      <c r="F56" s="63">
        <f t="shared" ca="1" si="1"/>
        <v>25</v>
      </c>
      <c r="G56" s="62" t="str">
        <f ca="1">VLOOKUP(F56,$L$6:$M$16,2,1)</f>
        <v>23-28</v>
      </c>
      <c r="H56" s="63" t="s">
        <v>45</v>
      </c>
      <c r="I56" t="s">
        <v>773</v>
      </c>
    </row>
    <row r="57" spans="1:9" ht="15" customHeight="1">
      <c r="A57" s="63" t="s">
        <v>272</v>
      </c>
      <c r="B57" s="64"/>
      <c r="C57" s="63" t="s">
        <v>57</v>
      </c>
      <c r="D57" s="64"/>
      <c r="E57" s="63" t="s">
        <v>667</v>
      </c>
      <c r="F57" s="63">
        <f t="shared" ca="1" si="1"/>
        <v>38</v>
      </c>
      <c r="G57" s="62" t="str">
        <f ca="1">VLOOKUP(F57,$L$6:$M$16,2,1)</f>
        <v>36-40</v>
      </c>
      <c r="H57" s="63" t="s">
        <v>45</v>
      </c>
      <c r="I57" t="s">
        <v>773</v>
      </c>
    </row>
    <row r="58" spans="1:9" ht="15" customHeight="1">
      <c r="A58" s="63" t="s">
        <v>272</v>
      </c>
      <c r="B58" s="64"/>
      <c r="C58" s="63" t="s">
        <v>77</v>
      </c>
      <c r="D58" s="64"/>
      <c r="E58" s="63" t="s">
        <v>668</v>
      </c>
      <c r="F58" s="63">
        <f t="shared" ca="1" si="1"/>
        <v>31</v>
      </c>
      <c r="G58" s="62" t="str">
        <f ca="1">VLOOKUP(F58,$L$6:$M$16,2,1)</f>
        <v>29-35</v>
      </c>
      <c r="H58" s="63" t="s">
        <v>46</v>
      </c>
      <c r="I58" t="s">
        <v>773</v>
      </c>
    </row>
    <row r="59" spans="1:9" ht="15" customHeight="1">
      <c r="A59" s="63" t="s">
        <v>272</v>
      </c>
      <c r="B59" s="64"/>
      <c r="C59" s="63" t="s">
        <v>53</v>
      </c>
      <c r="D59" s="64"/>
      <c r="E59" s="63" t="s">
        <v>669</v>
      </c>
      <c r="F59" s="63">
        <f t="shared" ca="1" si="1"/>
        <v>12</v>
      </c>
      <c r="G59" s="62" t="str">
        <f ca="1">VLOOKUP(F59,$L$6:$M$16,2,1)</f>
        <v>0-18</v>
      </c>
      <c r="H59" s="63" t="s">
        <v>45</v>
      </c>
      <c r="I59" t="s">
        <v>773</v>
      </c>
    </row>
    <row r="60" spans="1:9" ht="15" customHeight="1">
      <c r="A60" s="63" t="s">
        <v>272</v>
      </c>
      <c r="B60" s="64"/>
      <c r="C60" s="63" t="s">
        <v>53</v>
      </c>
      <c r="D60" s="64"/>
      <c r="E60" s="63" t="s">
        <v>670</v>
      </c>
      <c r="F60" s="63">
        <f t="shared" ca="1" si="1"/>
        <v>10</v>
      </c>
      <c r="G60" s="62" t="str">
        <f ca="1">VLOOKUP(F60,$L$6:$M$16,2,1)</f>
        <v>0-18</v>
      </c>
      <c r="H60" s="63" t="s">
        <v>45</v>
      </c>
      <c r="I60" t="s">
        <v>773</v>
      </c>
    </row>
    <row r="61" spans="1:9" ht="15" customHeight="1">
      <c r="A61" s="63" t="s">
        <v>288</v>
      </c>
      <c r="B61" s="64"/>
      <c r="C61" s="63" t="s">
        <v>57</v>
      </c>
      <c r="D61" s="64"/>
      <c r="E61" s="63" t="s">
        <v>671</v>
      </c>
      <c r="F61" s="63">
        <f t="shared" ca="1" si="1"/>
        <v>39</v>
      </c>
      <c r="G61" s="62" t="str">
        <f ca="1">VLOOKUP(F61,$L$6:$M$16,2,1)</f>
        <v>36-40</v>
      </c>
      <c r="H61" s="63" t="s">
        <v>45</v>
      </c>
      <c r="I61" t="s">
        <v>773</v>
      </c>
    </row>
    <row r="62" spans="1:9" ht="15" customHeight="1">
      <c r="A62" s="63" t="s">
        <v>288</v>
      </c>
      <c r="B62" s="64"/>
      <c r="C62" s="63" t="s">
        <v>77</v>
      </c>
      <c r="D62" s="64"/>
      <c r="E62" s="63" t="s">
        <v>672</v>
      </c>
      <c r="F62" s="63">
        <f t="shared" ca="1" si="1"/>
        <v>38</v>
      </c>
      <c r="G62" s="62" t="str">
        <f ca="1">VLOOKUP(F62,$L$6:$M$16,2,1)</f>
        <v>36-40</v>
      </c>
      <c r="H62" s="63" t="s">
        <v>46</v>
      </c>
      <c r="I62" t="s">
        <v>773</v>
      </c>
    </row>
    <row r="63" spans="1:9" ht="15" customHeight="1">
      <c r="A63" s="63" t="s">
        <v>288</v>
      </c>
      <c r="B63" s="64"/>
      <c r="C63" s="63" t="s">
        <v>53</v>
      </c>
      <c r="D63" s="64"/>
      <c r="E63" s="63" t="s">
        <v>673</v>
      </c>
      <c r="F63" s="63">
        <f t="shared" ca="1" si="1"/>
        <v>9</v>
      </c>
      <c r="G63" s="62" t="str">
        <f ca="1">VLOOKUP(F63,$L$6:$M$16,2,1)</f>
        <v>0-18</v>
      </c>
      <c r="H63" s="63" t="s">
        <v>45</v>
      </c>
      <c r="I63" t="s">
        <v>773</v>
      </c>
    </row>
    <row r="64" spans="1:9" ht="15" customHeight="1">
      <c r="A64" s="63" t="s">
        <v>288</v>
      </c>
      <c r="B64" s="64"/>
      <c r="C64" s="63" t="s">
        <v>52</v>
      </c>
      <c r="D64" s="64"/>
      <c r="E64" s="63" t="s">
        <v>674</v>
      </c>
      <c r="F64" s="63">
        <f t="shared" ca="1" si="1"/>
        <v>12</v>
      </c>
      <c r="G64" s="62" t="str">
        <f ca="1">VLOOKUP(F64,$L$6:$M$16,2,1)</f>
        <v>0-18</v>
      </c>
      <c r="H64" s="63" t="s">
        <v>46</v>
      </c>
      <c r="I64" t="s">
        <v>773</v>
      </c>
    </row>
    <row r="65" spans="1:9" ht="15" customHeight="1">
      <c r="A65" s="63" t="s">
        <v>302</v>
      </c>
      <c r="B65" s="64"/>
      <c r="C65" s="63" t="s">
        <v>57</v>
      </c>
      <c r="D65" s="64"/>
      <c r="E65" s="63" t="s">
        <v>675</v>
      </c>
      <c r="F65" s="63">
        <f t="shared" ca="1" si="1"/>
        <v>45</v>
      </c>
      <c r="G65" s="62" t="str">
        <f ca="1">VLOOKUP(F65,$L$6:$M$16,2,1)</f>
        <v>41-45</v>
      </c>
      <c r="H65" s="63" t="s">
        <v>45</v>
      </c>
      <c r="I65" t="s">
        <v>773</v>
      </c>
    </row>
    <row r="66" spans="1:9" ht="15" customHeight="1">
      <c r="A66" s="63" t="s">
        <v>302</v>
      </c>
      <c r="B66" s="64"/>
      <c r="C66" s="63" t="s">
        <v>77</v>
      </c>
      <c r="D66" s="64"/>
      <c r="E66" s="63" t="s">
        <v>676</v>
      </c>
      <c r="F66" s="63">
        <f t="shared" ca="1" si="1"/>
        <v>38</v>
      </c>
      <c r="G66" s="62" t="str">
        <f ca="1">VLOOKUP(F66,$L$6:$M$16,2,1)</f>
        <v>36-40</v>
      </c>
      <c r="H66" s="63" t="s">
        <v>46</v>
      </c>
      <c r="I66" t="s">
        <v>773</v>
      </c>
    </row>
    <row r="67" spans="1:9" ht="15" customHeight="1">
      <c r="A67" s="63" t="s">
        <v>573</v>
      </c>
      <c r="B67" s="64"/>
      <c r="C67" s="63" t="s">
        <v>57</v>
      </c>
      <c r="D67" s="64"/>
      <c r="E67" s="63" t="s">
        <v>677</v>
      </c>
      <c r="F67" s="63">
        <f t="shared" ca="1" si="1"/>
        <v>50</v>
      </c>
      <c r="G67" s="62" t="str">
        <f ca="1">VLOOKUP(F67,$L$6:$M$16,2,1)</f>
        <v>46-50</v>
      </c>
      <c r="H67" s="63" t="s">
        <v>45</v>
      </c>
      <c r="I67" t="s">
        <v>773</v>
      </c>
    </row>
    <row r="68" spans="1:9" ht="15" customHeight="1">
      <c r="A68" s="63" t="s">
        <v>573</v>
      </c>
      <c r="B68" s="64"/>
      <c r="C68" s="63" t="s">
        <v>77</v>
      </c>
      <c r="D68" s="64"/>
      <c r="E68" s="63" t="s">
        <v>678</v>
      </c>
      <c r="F68" s="63">
        <f t="shared" ca="1" si="1"/>
        <v>44</v>
      </c>
      <c r="G68" s="62" t="str">
        <f ca="1">VLOOKUP(F68,$L$6:$M$16,2,1)</f>
        <v>41-45</v>
      </c>
      <c r="H68" s="63" t="s">
        <v>46</v>
      </c>
      <c r="I68" t="s">
        <v>773</v>
      </c>
    </row>
    <row r="69" spans="1:9" ht="15" customHeight="1">
      <c r="A69" s="63" t="s">
        <v>573</v>
      </c>
      <c r="B69" s="64"/>
      <c r="C69" s="63" t="s">
        <v>53</v>
      </c>
      <c r="D69" s="64"/>
      <c r="E69" s="63" t="s">
        <v>679</v>
      </c>
      <c r="F69" s="63">
        <f t="shared" ca="1" si="1"/>
        <v>23</v>
      </c>
      <c r="G69" s="62" t="str">
        <f ca="1">VLOOKUP(F69,$L$6:$M$16,2,1)</f>
        <v>23-28</v>
      </c>
      <c r="H69" s="63" t="s">
        <v>45</v>
      </c>
      <c r="I69" t="s">
        <v>773</v>
      </c>
    </row>
    <row r="70" spans="1:9" ht="15" customHeight="1">
      <c r="A70" s="63" t="s">
        <v>573</v>
      </c>
      <c r="B70" s="64"/>
      <c r="C70" s="63" t="s">
        <v>53</v>
      </c>
      <c r="D70" s="64"/>
      <c r="E70" s="63" t="s">
        <v>680</v>
      </c>
      <c r="F70" s="63">
        <f t="shared" ca="1" si="1"/>
        <v>18</v>
      </c>
      <c r="G70" s="62" t="str">
        <f ca="1">VLOOKUP(F70,$L$6:$M$16,2,1)</f>
        <v>0-18</v>
      </c>
      <c r="H70" s="63" t="s">
        <v>45</v>
      </c>
      <c r="I70" t="s">
        <v>773</v>
      </c>
    </row>
    <row r="71" spans="1:9" ht="15" customHeight="1">
      <c r="A71" s="63" t="s">
        <v>313</v>
      </c>
      <c r="B71" s="64"/>
      <c r="C71" s="63" t="s">
        <v>57</v>
      </c>
      <c r="D71" s="64"/>
      <c r="E71" s="63" t="s">
        <v>681</v>
      </c>
      <c r="F71" s="63">
        <f t="shared" ca="1" si="1"/>
        <v>39</v>
      </c>
      <c r="G71" s="62" t="str">
        <f ca="1">VLOOKUP(F71,$L$6:$M$16,2,1)</f>
        <v>36-40</v>
      </c>
      <c r="H71" s="63" t="s">
        <v>45</v>
      </c>
      <c r="I71" t="s">
        <v>773</v>
      </c>
    </row>
    <row r="72" spans="1:9" ht="15" customHeight="1">
      <c r="A72" s="63" t="s">
        <v>313</v>
      </c>
      <c r="B72" s="64"/>
      <c r="C72" s="63" t="s">
        <v>77</v>
      </c>
      <c r="D72" s="64"/>
      <c r="E72" s="63" t="s">
        <v>682</v>
      </c>
      <c r="F72" s="63">
        <f t="shared" ca="1" si="1"/>
        <v>36</v>
      </c>
      <c r="G72" s="62" t="str">
        <f ca="1">VLOOKUP(F72,$L$6:$M$16,2,1)</f>
        <v>36-40</v>
      </c>
      <c r="H72" s="63" t="s">
        <v>46</v>
      </c>
      <c r="I72" t="s">
        <v>773</v>
      </c>
    </row>
    <row r="73" spans="1:9" ht="15" customHeight="1">
      <c r="A73" s="63" t="s">
        <v>313</v>
      </c>
      <c r="B73" s="64"/>
      <c r="C73" s="63" t="s">
        <v>52</v>
      </c>
      <c r="D73" s="64"/>
      <c r="E73" s="63" t="s">
        <v>683</v>
      </c>
      <c r="F73" s="63">
        <f t="shared" ca="1" si="1"/>
        <v>9</v>
      </c>
      <c r="G73" s="62" t="str">
        <f ca="1">VLOOKUP(F73,$L$6:$M$16,2,1)</f>
        <v>0-18</v>
      </c>
      <c r="H73" s="63" t="s">
        <v>46</v>
      </c>
      <c r="I73" t="s">
        <v>773</v>
      </c>
    </row>
    <row r="74" spans="1:9" ht="15" customHeight="1">
      <c r="A74" s="63" t="s">
        <v>574</v>
      </c>
      <c r="B74" s="64"/>
      <c r="C74" s="63" t="s">
        <v>57</v>
      </c>
      <c r="D74" s="64"/>
      <c r="E74" s="63" t="s">
        <v>684</v>
      </c>
      <c r="F74" s="63">
        <f t="shared" ca="1" si="1"/>
        <v>38</v>
      </c>
      <c r="G74" s="62" t="str">
        <f ca="1">VLOOKUP(F74,$L$6:$M$16,2,1)</f>
        <v>36-40</v>
      </c>
      <c r="H74" s="63" t="s">
        <v>45</v>
      </c>
      <c r="I74" t="s">
        <v>773</v>
      </c>
    </row>
    <row r="75" spans="1:9" ht="15" customHeight="1">
      <c r="A75" s="63" t="s">
        <v>574</v>
      </c>
      <c r="B75" s="64"/>
      <c r="C75" s="63" t="s">
        <v>77</v>
      </c>
      <c r="D75" s="64"/>
      <c r="E75" s="63" t="s">
        <v>685</v>
      </c>
      <c r="F75" s="63">
        <f t="shared" ca="1" si="1"/>
        <v>33</v>
      </c>
      <c r="G75" s="62" t="str">
        <f ca="1">VLOOKUP(F75,$L$6:$M$16,2,1)</f>
        <v>29-35</v>
      </c>
      <c r="H75" s="63" t="s">
        <v>46</v>
      </c>
      <c r="I75" t="s">
        <v>773</v>
      </c>
    </row>
    <row r="76" spans="1:9" ht="15" customHeight="1">
      <c r="A76" s="63" t="s">
        <v>574</v>
      </c>
      <c r="B76" s="64"/>
      <c r="C76" s="63" t="s">
        <v>53</v>
      </c>
      <c r="D76" s="64"/>
      <c r="E76" s="63" t="s">
        <v>686</v>
      </c>
      <c r="F76" s="63">
        <f t="shared" ca="1" si="1"/>
        <v>9</v>
      </c>
      <c r="G76" s="62" t="str">
        <f ca="1">VLOOKUP(F76,$L$6:$M$16,2,1)</f>
        <v>0-18</v>
      </c>
      <c r="H76" s="63" t="s">
        <v>45</v>
      </c>
      <c r="I76" t="s">
        <v>773</v>
      </c>
    </row>
    <row r="77" spans="1:9" ht="15" customHeight="1">
      <c r="A77" s="63" t="s">
        <v>574</v>
      </c>
      <c r="B77" s="64"/>
      <c r="C77" s="63" t="s">
        <v>53</v>
      </c>
      <c r="D77" s="64"/>
      <c r="E77" s="63" t="s">
        <v>687</v>
      </c>
      <c r="F77" s="63">
        <f t="shared" ca="1" si="1"/>
        <v>3</v>
      </c>
      <c r="G77" s="62" t="str">
        <f ca="1">VLOOKUP(F77,$L$6:$M$16,2,1)</f>
        <v>0-18</v>
      </c>
      <c r="H77" s="63" t="s">
        <v>45</v>
      </c>
      <c r="I77" t="s">
        <v>773</v>
      </c>
    </row>
    <row r="78" spans="1:9" ht="15" customHeight="1">
      <c r="A78" s="63" t="s">
        <v>353</v>
      </c>
      <c r="B78" s="64"/>
      <c r="C78" s="63" t="s">
        <v>57</v>
      </c>
      <c r="D78" s="64"/>
      <c r="E78" s="63" t="s">
        <v>688</v>
      </c>
      <c r="F78" s="63">
        <f t="shared" ca="1" si="1"/>
        <v>58</v>
      </c>
      <c r="G78" s="62" t="str">
        <f ca="1">VLOOKUP(F78,$L$6:$M$16,2,1)</f>
        <v>46-50</v>
      </c>
      <c r="H78" s="63" t="s">
        <v>45</v>
      </c>
      <c r="I78" t="s">
        <v>773</v>
      </c>
    </row>
    <row r="79" spans="1:9" ht="15" customHeight="1">
      <c r="A79" s="63" t="s">
        <v>353</v>
      </c>
      <c r="B79" s="64"/>
      <c r="C79" s="63" t="s">
        <v>53</v>
      </c>
      <c r="D79" s="64"/>
      <c r="E79" s="63" t="s">
        <v>689</v>
      </c>
      <c r="F79" s="63">
        <f t="shared" ca="1" si="1"/>
        <v>20</v>
      </c>
      <c r="G79" s="62" t="str">
        <f ca="1">VLOOKUP(F79,$L$6:$M$16,2,1)</f>
        <v>19-22</v>
      </c>
      <c r="H79" s="63" t="s">
        <v>45</v>
      </c>
      <c r="I79" t="s">
        <v>773</v>
      </c>
    </row>
    <row r="80" spans="1:9" ht="15" customHeight="1">
      <c r="A80" s="63" t="s">
        <v>575</v>
      </c>
      <c r="B80" s="64"/>
      <c r="C80" s="63" t="s">
        <v>57</v>
      </c>
      <c r="D80" s="64"/>
      <c r="E80" s="63" t="s">
        <v>690</v>
      </c>
      <c r="F80" s="63">
        <f t="shared" ca="1" si="1"/>
        <v>36</v>
      </c>
      <c r="G80" s="62" t="str">
        <f ca="1">VLOOKUP(F80,$L$6:$M$16,2,1)</f>
        <v>36-40</v>
      </c>
      <c r="H80" s="63" t="s">
        <v>46</v>
      </c>
      <c r="I80" t="s">
        <v>773</v>
      </c>
    </row>
    <row r="81" spans="1:9" ht="15" customHeight="1">
      <c r="A81" s="63" t="s">
        <v>575</v>
      </c>
      <c r="B81" s="64"/>
      <c r="C81" s="63" t="s">
        <v>612</v>
      </c>
      <c r="D81" s="64"/>
      <c r="E81" s="63" t="s">
        <v>691</v>
      </c>
      <c r="F81" s="63">
        <f t="shared" ca="1" si="1"/>
        <v>41</v>
      </c>
      <c r="G81" s="62" t="str">
        <f ca="1">VLOOKUP(F81,$L$6:$M$16,2,1)</f>
        <v>41-45</v>
      </c>
      <c r="H81" s="63" t="s">
        <v>45</v>
      </c>
      <c r="I81" t="s">
        <v>773</v>
      </c>
    </row>
    <row r="82" spans="1:9" ht="15" customHeight="1">
      <c r="A82" s="63" t="s">
        <v>575</v>
      </c>
      <c r="B82" s="64"/>
      <c r="C82" s="63" t="s">
        <v>52</v>
      </c>
      <c r="D82" s="64"/>
      <c r="E82" s="63" t="s">
        <v>692</v>
      </c>
      <c r="F82" s="63">
        <f t="shared" ca="1" si="1"/>
        <v>9</v>
      </c>
      <c r="G82" s="62" t="str">
        <f ca="1">VLOOKUP(F82,$L$6:$M$16,2,1)</f>
        <v>0-18</v>
      </c>
      <c r="H82" s="63" t="s">
        <v>46</v>
      </c>
      <c r="I82" t="s">
        <v>773</v>
      </c>
    </row>
    <row r="83" spans="1:9" ht="15" customHeight="1">
      <c r="A83" s="63" t="s">
        <v>575</v>
      </c>
      <c r="B83" s="64"/>
      <c r="C83" s="63" t="s">
        <v>52</v>
      </c>
      <c r="D83" s="64"/>
      <c r="E83" s="63" t="s">
        <v>693</v>
      </c>
      <c r="F83" s="63">
        <f t="shared" ca="1" si="1"/>
        <v>7</v>
      </c>
      <c r="G83" s="62" t="str">
        <f ca="1">VLOOKUP(F83,$L$6:$M$16,2,1)</f>
        <v>0-18</v>
      </c>
      <c r="H83" s="63" t="s">
        <v>46</v>
      </c>
      <c r="I83" t="s">
        <v>773</v>
      </c>
    </row>
    <row r="84" spans="1:9" ht="15" customHeight="1">
      <c r="A84" s="63" t="s">
        <v>363</v>
      </c>
      <c r="B84" s="64"/>
      <c r="C84" s="63" t="s">
        <v>57</v>
      </c>
      <c r="D84" s="64"/>
      <c r="E84" s="63" t="s">
        <v>694</v>
      </c>
      <c r="F84" s="63">
        <f t="shared" ca="1" si="1"/>
        <v>43</v>
      </c>
      <c r="G84" s="62" t="str">
        <f ca="1">VLOOKUP(F84,$L$6:$M$16,2,1)</f>
        <v>41-45</v>
      </c>
      <c r="H84" s="63" t="s">
        <v>46</v>
      </c>
      <c r="I84" t="s">
        <v>773</v>
      </c>
    </row>
    <row r="85" spans="1:9" ht="15" customHeight="1">
      <c r="A85" s="63" t="s">
        <v>363</v>
      </c>
      <c r="B85" s="64"/>
      <c r="C85" s="63" t="s">
        <v>612</v>
      </c>
      <c r="D85" s="64"/>
      <c r="E85" s="63" t="s">
        <v>695</v>
      </c>
      <c r="F85" s="63">
        <f t="shared" ca="1" si="1"/>
        <v>42</v>
      </c>
      <c r="G85" s="62" t="str">
        <f ca="1">VLOOKUP(F85,$L$6:$M$16,2,1)</f>
        <v>41-45</v>
      </c>
      <c r="H85" s="63" t="s">
        <v>45</v>
      </c>
      <c r="I85" t="s">
        <v>773</v>
      </c>
    </row>
    <row r="86" spans="1:9" ht="15" customHeight="1">
      <c r="A86" s="63" t="s">
        <v>363</v>
      </c>
      <c r="B86" s="64"/>
      <c r="C86" s="63" t="s">
        <v>52</v>
      </c>
      <c r="D86" s="64"/>
      <c r="E86" s="63" t="s">
        <v>696</v>
      </c>
      <c r="F86" s="63">
        <f t="shared" ca="1" si="1"/>
        <v>16</v>
      </c>
      <c r="G86" s="62" t="str">
        <f ca="1">VLOOKUP(F86,$L$6:$M$16,2,1)</f>
        <v>0-18</v>
      </c>
      <c r="H86" s="63" t="s">
        <v>46</v>
      </c>
      <c r="I86" t="s">
        <v>773</v>
      </c>
    </row>
    <row r="87" spans="1:9" ht="15" customHeight="1">
      <c r="A87" s="63" t="s">
        <v>576</v>
      </c>
      <c r="B87" s="64"/>
      <c r="C87" s="63" t="s">
        <v>57</v>
      </c>
      <c r="D87" s="64"/>
      <c r="E87" s="63" t="s">
        <v>697</v>
      </c>
      <c r="F87" s="63">
        <f t="shared" ca="1" si="1"/>
        <v>34</v>
      </c>
      <c r="G87" s="62" t="str">
        <f ca="1">VLOOKUP(F87,$L$6:$M$16,2,1)</f>
        <v>29-35</v>
      </c>
      <c r="H87" s="63" t="s">
        <v>45</v>
      </c>
      <c r="I87" t="s">
        <v>773</v>
      </c>
    </row>
    <row r="88" spans="1:9" ht="15" customHeight="1">
      <c r="A88" s="63" t="s">
        <v>577</v>
      </c>
      <c r="B88" s="64"/>
      <c r="C88" s="63" t="s">
        <v>57</v>
      </c>
      <c r="D88" s="64"/>
      <c r="E88" s="63" t="s">
        <v>698</v>
      </c>
      <c r="F88" s="63">
        <f t="shared" ca="1" si="1"/>
        <v>29</v>
      </c>
      <c r="G88" s="62" t="str">
        <f ca="1">VLOOKUP(F88,$L$6:$M$16,2,1)</f>
        <v>29-35</v>
      </c>
      <c r="H88" s="63" t="s">
        <v>45</v>
      </c>
      <c r="I88" t="s">
        <v>773</v>
      </c>
    </row>
    <row r="89" spans="1:9" ht="15" customHeight="1">
      <c r="A89" s="63" t="s">
        <v>578</v>
      </c>
      <c r="B89" s="64"/>
      <c r="C89" s="63" t="s">
        <v>57</v>
      </c>
      <c r="D89" s="64"/>
      <c r="E89" s="63" t="s">
        <v>699</v>
      </c>
      <c r="F89" s="63">
        <f t="shared" ca="1" si="1"/>
        <v>30</v>
      </c>
      <c r="G89" s="62" t="str">
        <f ca="1">VLOOKUP(F89,$L$6:$M$16,2,1)</f>
        <v>29-35</v>
      </c>
      <c r="H89" s="63" t="s">
        <v>45</v>
      </c>
      <c r="I89" t="s">
        <v>773</v>
      </c>
    </row>
    <row r="90" spans="1:9" ht="15" customHeight="1">
      <c r="A90" s="63" t="s">
        <v>578</v>
      </c>
      <c r="B90" s="64"/>
      <c r="C90" s="63" t="s">
        <v>77</v>
      </c>
      <c r="D90" s="64"/>
      <c r="E90" s="63" t="s">
        <v>700</v>
      </c>
      <c r="F90" s="63">
        <f t="shared" ca="1" si="1"/>
        <v>26</v>
      </c>
      <c r="G90" s="62" t="str">
        <f ca="1">VLOOKUP(F90,$L$6:$M$16,2,1)</f>
        <v>23-28</v>
      </c>
      <c r="H90" s="63" t="s">
        <v>46</v>
      </c>
      <c r="I90" t="s">
        <v>773</v>
      </c>
    </row>
    <row r="91" spans="1:9" ht="15" customHeight="1">
      <c r="A91" s="63" t="s">
        <v>378</v>
      </c>
      <c r="B91" s="64"/>
      <c r="C91" s="63" t="s">
        <v>57</v>
      </c>
      <c r="D91" s="64"/>
      <c r="E91" s="63" t="s">
        <v>701</v>
      </c>
      <c r="F91" s="63">
        <f t="shared" ca="1" si="1"/>
        <v>44</v>
      </c>
      <c r="G91" s="62" t="str">
        <f ca="1">VLOOKUP(F91,$L$6:$M$16,2,1)</f>
        <v>41-45</v>
      </c>
      <c r="H91" s="63" t="s">
        <v>46</v>
      </c>
      <c r="I91" t="s">
        <v>773</v>
      </c>
    </row>
    <row r="92" spans="1:9" ht="15" customHeight="1">
      <c r="A92" s="63" t="s">
        <v>378</v>
      </c>
      <c r="B92" s="64"/>
      <c r="C92" s="63" t="s">
        <v>612</v>
      </c>
      <c r="D92" s="64"/>
      <c r="E92" s="63" t="s">
        <v>702</v>
      </c>
      <c r="F92" s="63">
        <f t="shared" ca="1" si="1"/>
        <v>47</v>
      </c>
      <c r="G92" s="62" t="str">
        <f ca="1">VLOOKUP(F92,$L$6:$M$16,2,1)</f>
        <v>46-50</v>
      </c>
      <c r="H92" s="63" t="s">
        <v>45</v>
      </c>
      <c r="I92" t="s">
        <v>773</v>
      </c>
    </row>
    <row r="93" spans="1:9" ht="15" customHeight="1">
      <c r="A93" s="63" t="s">
        <v>378</v>
      </c>
      <c r="B93" s="64"/>
      <c r="C93" s="63" t="s">
        <v>53</v>
      </c>
      <c r="D93" s="64"/>
      <c r="E93" s="63" t="s">
        <v>703</v>
      </c>
      <c r="F93" s="63">
        <f t="shared" ca="1" si="1"/>
        <v>18</v>
      </c>
      <c r="G93" s="62" t="str">
        <f ca="1">VLOOKUP(F93,$L$6:$M$16,2,1)</f>
        <v>0-18</v>
      </c>
      <c r="H93" s="63" t="s">
        <v>45</v>
      </c>
      <c r="I93" t="s">
        <v>773</v>
      </c>
    </row>
    <row r="94" spans="1:9" ht="15" customHeight="1">
      <c r="A94" s="63" t="s">
        <v>393</v>
      </c>
      <c r="B94" s="64"/>
      <c r="C94" s="63" t="s">
        <v>57</v>
      </c>
      <c r="D94" s="64"/>
      <c r="E94" s="63" t="s">
        <v>704</v>
      </c>
      <c r="F94" s="63">
        <f t="shared" ca="1" si="1"/>
        <v>50</v>
      </c>
      <c r="G94" s="62" t="str">
        <f ca="1">VLOOKUP(F94,$L$6:$M$16,2,1)</f>
        <v>46-50</v>
      </c>
      <c r="H94" s="63" t="s">
        <v>45</v>
      </c>
      <c r="I94" t="s">
        <v>773</v>
      </c>
    </row>
    <row r="95" spans="1:9" ht="15" customHeight="1">
      <c r="A95" s="63" t="s">
        <v>393</v>
      </c>
      <c r="B95" s="64"/>
      <c r="C95" s="63" t="s">
        <v>77</v>
      </c>
      <c r="D95" s="64"/>
      <c r="E95" s="63" t="s">
        <v>705</v>
      </c>
      <c r="F95" s="63">
        <f t="shared" ca="1" si="1"/>
        <v>43</v>
      </c>
      <c r="G95" s="62" t="str">
        <f ca="1">VLOOKUP(F95,$L$6:$M$16,2,1)</f>
        <v>41-45</v>
      </c>
      <c r="H95" s="63" t="s">
        <v>46</v>
      </c>
      <c r="I95" t="s">
        <v>773</v>
      </c>
    </row>
    <row r="96" spans="1:9" ht="15" customHeight="1">
      <c r="A96" s="63" t="s">
        <v>393</v>
      </c>
      <c r="B96" s="64"/>
      <c r="C96" s="63" t="s">
        <v>53</v>
      </c>
      <c r="D96" s="64"/>
      <c r="E96" s="63" t="s">
        <v>706</v>
      </c>
      <c r="F96" s="63">
        <f t="shared" ca="1" si="1"/>
        <v>21</v>
      </c>
      <c r="G96" s="62" t="str">
        <f ca="1">VLOOKUP(F96,$L$6:$M$16,2,1)</f>
        <v>19-22</v>
      </c>
      <c r="H96" s="63" t="s">
        <v>45</v>
      </c>
      <c r="I96" t="s">
        <v>773</v>
      </c>
    </row>
    <row r="97" spans="1:9" ht="15" customHeight="1">
      <c r="A97" s="63" t="s">
        <v>393</v>
      </c>
      <c r="B97" s="64"/>
      <c r="C97" s="63" t="s">
        <v>52</v>
      </c>
      <c r="D97" s="64"/>
      <c r="E97" s="63" t="s">
        <v>707</v>
      </c>
      <c r="F97" s="63">
        <f t="shared" ca="1" si="1"/>
        <v>17</v>
      </c>
      <c r="G97" s="62" t="str">
        <f ca="1">VLOOKUP(F97,$L$6:$M$16,2,1)</f>
        <v>0-18</v>
      </c>
      <c r="H97" s="63" t="s">
        <v>46</v>
      </c>
      <c r="I97" t="s">
        <v>773</v>
      </c>
    </row>
    <row r="98" spans="1:9" ht="15" customHeight="1">
      <c r="A98" s="63" t="s">
        <v>579</v>
      </c>
      <c r="B98" s="64"/>
      <c r="C98" s="63" t="s">
        <v>57</v>
      </c>
      <c r="D98" s="64"/>
      <c r="E98" s="63" t="s">
        <v>708</v>
      </c>
      <c r="F98" s="63">
        <f t="shared" ref="F98:F129" ca="1" si="2">ROUNDDOWN((TODAY() - E98)/365.25,0)</f>
        <v>44</v>
      </c>
      <c r="G98" s="62" t="str">
        <f ca="1">VLOOKUP(F98,$L$6:$M$16,2,1)</f>
        <v>41-45</v>
      </c>
      <c r="H98" s="63" t="s">
        <v>45</v>
      </c>
      <c r="I98" t="s">
        <v>773</v>
      </c>
    </row>
    <row r="99" spans="1:9" ht="15" customHeight="1">
      <c r="A99" s="63" t="s">
        <v>579</v>
      </c>
      <c r="B99" s="64"/>
      <c r="C99" s="63" t="s">
        <v>77</v>
      </c>
      <c r="D99" s="64"/>
      <c r="E99" s="63" t="s">
        <v>709</v>
      </c>
      <c r="F99" s="63">
        <f t="shared" ca="1" si="2"/>
        <v>47</v>
      </c>
      <c r="G99" s="62" t="str">
        <f ca="1">VLOOKUP(F99,$L$6:$M$16,2,1)</f>
        <v>46-50</v>
      </c>
      <c r="H99" s="63" t="s">
        <v>46</v>
      </c>
      <c r="I99" t="s">
        <v>773</v>
      </c>
    </row>
    <row r="100" spans="1:9" ht="15" customHeight="1">
      <c r="A100" s="63" t="s">
        <v>579</v>
      </c>
      <c r="B100" s="64"/>
      <c r="C100" s="63" t="s">
        <v>53</v>
      </c>
      <c r="D100" s="64"/>
      <c r="E100" s="63" t="s">
        <v>710</v>
      </c>
      <c r="F100" s="63">
        <f t="shared" ca="1" si="2"/>
        <v>13</v>
      </c>
      <c r="G100" s="62" t="str">
        <f ca="1">VLOOKUP(F100,$L$6:$M$16,2,1)</f>
        <v>0-18</v>
      </c>
      <c r="H100" s="63" t="s">
        <v>45</v>
      </c>
      <c r="I100" t="s">
        <v>773</v>
      </c>
    </row>
    <row r="101" spans="1:9" ht="15" customHeight="1">
      <c r="A101" s="63" t="s">
        <v>580</v>
      </c>
      <c r="B101" s="64"/>
      <c r="C101" s="63" t="s">
        <v>57</v>
      </c>
      <c r="D101" s="64"/>
      <c r="E101" s="63" t="s">
        <v>711</v>
      </c>
      <c r="F101" s="63">
        <f t="shared" ca="1" si="2"/>
        <v>28</v>
      </c>
      <c r="G101" s="62" t="str">
        <f ca="1">VLOOKUP(F101,$L$6:$M$16,2,1)</f>
        <v>23-28</v>
      </c>
      <c r="H101" s="63" t="s">
        <v>45</v>
      </c>
      <c r="I101" t="s">
        <v>773</v>
      </c>
    </row>
    <row r="102" spans="1:9" ht="15" customHeight="1">
      <c r="A102" s="63" t="s">
        <v>581</v>
      </c>
      <c r="B102" s="64"/>
      <c r="C102" s="63" t="s">
        <v>57</v>
      </c>
      <c r="D102" s="64"/>
      <c r="E102" s="63" t="s">
        <v>712</v>
      </c>
      <c r="F102" s="63">
        <f t="shared" ca="1" si="2"/>
        <v>23</v>
      </c>
      <c r="G102" s="62" t="str">
        <f ca="1">VLOOKUP(F102,$L$6:$M$16,2,1)</f>
        <v>23-28</v>
      </c>
      <c r="H102" s="63" t="s">
        <v>45</v>
      </c>
      <c r="I102" t="s">
        <v>773</v>
      </c>
    </row>
    <row r="103" spans="1:9" ht="15" customHeight="1">
      <c r="A103" s="63" t="s">
        <v>582</v>
      </c>
      <c r="B103" s="64"/>
      <c r="C103" s="63" t="s">
        <v>57</v>
      </c>
      <c r="D103" s="64"/>
      <c r="E103" s="63" t="s">
        <v>713</v>
      </c>
      <c r="F103" s="63">
        <f t="shared" ca="1" si="2"/>
        <v>31</v>
      </c>
      <c r="G103" s="62" t="str">
        <f ca="1">VLOOKUP(F103,$L$6:$M$16,2,1)</f>
        <v>29-35</v>
      </c>
      <c r="H103" s="63" t="s">
        <v>46</v>
      </c>
      <c r="I103" t="s">
        <v>773</v>
      </c>
    </row>
    <row r="104" spans="1:9" ht="15" customHeight="1">
      <c r="A104" s="63" t="s">
        <v>583</v>
      </c>
      <c r="B104" s="64"/>
      <c r="C104" s="63" t="s">
        <v>57</v>
      </c>
      <c r="D104" s="64"/>
      <c r="E104" s="63" t="s">
        <v>714</v>
      </c>
      <c r="F104" s="63">
        <f t="shared" ca="1" si="2"/>
        <v>34</v>
      </c>
      <c r="G104" s="62" t="str">
        <f ca="1">VLOOKUP(F104,$L$6:$M$16,2,1)</f>
        <v>29-35</v>
      </c>
      <c r="H104" s="63" t="s">
        <v>46</v>
      </c>
      <c r="I104" t="s">
        <v>773</v>
      </c>
    </row>
    <row r="105" spans="1:9" ht="15" customHeight="1">
      <c r="A105" s="63" t="s">
        <v>583</v>
      </c>
      <c r="B105" s="64"/>
      <c r="C105" s="63" t="s">
        <v>612</v>
      </c>
      <c r="D105" s="64"/>
      <c r="E105" s="63" t="s">
        <v>715</v>
      </c>
      <c r="F105" s="63">
        <f t="shared" ca="1" si="2"/>
        <v>45</v>
      </c>
      <c r="G105" s="62" t="str">
        <f ca="1">VLOOKUP(F105,$L$6:$M$16,2,1)</f>
        <v>41-45</v>
      </c>
      <c r="H105" s="63" t="s">
        <v>45</v>
      </c>
      <c r="I105" t="s">
        <v>773</v>
      </c>
    </row>
    <row r="106" spans="1:9" ht="15" customHeight="1">
      <c r="A106" s="63" t="s">
        <v>583</v>
      </c>
      <c r="B106" s="64"/>
      <c r="C106" s="63" t="s">
        <v>52</v>
      </c>
      <c r="D106" s="64"/>
      <c r="E106" s="63" t="s">
        <v>716</v>
      </c>
      <c r="F106" s="63">
        <f t="shared" ca="1" si="2"/>
        <v>6</v>
      </c>
      <c r="G106" s="62" t="str">
        <f ca="1">VLOOKUP(F106,$L$6:$M$16,2,1)</f>
        <v>0-18</v>
      </c>
      <c r="H106" s="63" t="s">
        <v>46</v>
      </c>
      <c r="I106" t="s">
        <v>773</v>
      </c>
    </row>
    <row r="107" spans="1:9" ht="15" customHeight="1">
      <c r="A107" s="63" t="s">
        <v>421</v>
      </c>
      <c r="B107" s="64"/>
      <c r="C107" s="63" t="s">
        <v>57</v>
      </c>
      <c r="D107" s="64"/>
      <c r="E107" s="63" t="s">
        <v>717</v>
      </c>
      <c r="F107" s="63">
        <f t="shared" ca="1" si="2"/>
        <v>50</v>
      </c>
      <c r="G107" s="62" t="str">
        <f ca="1">VLOOKUP(F107,$L$6:$M$16,2,1)</f>
        <v>46-50</v>
      </c>
      <c r="H107" s="63" t="s">
        <v>45</v>
      </c>
      <c r="I107" t="s">
        <v>773</v>
      </c>
    </row>
    <row r="108" spans="1:9" ht="15" customHeight="1">
      <c r="A108" s="63" t="s">
        <v>421</v>
      </c>
      <c r="B108" s="64"/>
      <c r="C108" s="63" t="s">
        <v>77</v>
      </c>
      <c r="D108" s="64"/>
      <c r="E108" s="63" t="s">
        <v>718</v>
      </c>
      <c r="F108" s="63">
        <f t="shared" ca="1" si="2"/>
        <v>43</v>
      </c>
      <c r="G108" s="62" t="str">
        <f ca="1">VLOOKUP(F108,$L$6:$M$16,2,1)</f>
        <v>41-45</v>
      </c>
      <c r="H108" s="63" t="s">
        <v>46</v>
      </c>
      <c r="I108" t="s">
        <v>773</v>
      </c>
    </row>
    <row r="109" spans="1:9" ht="15" customHeight="1">
      <c r="A109" s="63" t="s">
        <v>421</v>
      </c>
      <c r="B109" s="64"/>
      <c r="C109" s="63" t="s">
        <v>53</v>
      </c>
      <c r="D109" s="64"/>
      <c r="E109" s="63" t="s">
        <v>719</v>
      </c>
      <c r="F109" s="63">
        <f t="shared" ca="1" si="2"/>
        <v>17</v>
      </c>
      <c r="G109" s="62" t="str">
        <f ca="1">VLOOKUP(F109,$L$6:$M$16,2,1)</f>
        <v>0-18</v>
      </c>
      <c r="H109" s="63" t="s">
        <v>45</v>
      </c>
      <c r="I109" t="s">
        <v>773</v>
      </c>
    </row>
    <row r="110" spans="1:9" ht="15" customHeight="1">
      <c r="A110" s="63" t="s">
        <v>421</v>
      </c>
      <c r="B110" s="64"/>
      <c r="C110" s="63" t="s">
        <v>52</v>
      </c>
      <c r="D110" s="64"/>
      <c r="E110" s="63" t="s">
        <v>720</v>
      </c>
      <c r="F110" s="63">
        <f t="shared" ca="1" si="2"/>
        <v>22</v>
      </c>
      <c r="G110" s="62" t="str">
        <f ca="1">VLOOKUP(F110,$L$6:$M$16,2,1)</f>
        <v>19-22</v>
      </c>
      <c r="H110" s="63" t="s">
        <v>46</v>
      </c>
      <c r="I110" t="s">
        <v>773</v>
      </c>
    </row>
    <row r="111" spans="1:9" ht="15" customHeight="1">
      <c r="A111" s="63" t="s">
        <v>584</v>
      </c>
      <c r="B111" s="64"/>
      <c r="C111" s="63" t="s">
        <v>57</v>
      </c>
      <c r="D111" s="64"/>
      <c r="E111" s="63" t="s">
        <v>721</v>
      </c>
      <c r="F111" s="63">
        <f t="shared" ca="1" si="2"/>
        <v>27</v>
      </c>
      <c r="G111" s="62" t="str">
        <f ca="1">VLOOKUP(F111,$L$6:$M$16,2,1)</f>
        <v>23-28</v>
      </c>
      <c r="H111" s="63" t="s">
        <v>45</v>
      </c>
      <c r="I111" t="s">
        <v>773</v>
      </c>
    </row>
    <row r="112" spans="1:9" ht="15" customHeight="1">
      <c r="A112" s="63" t="s">
        <v>585</v>
      </c>
      <c r="B112" s="64"/>
      <c r="C112" s="63" t="s">
        <v>57</v>
      </c>
      <c r="D112" s="64"/>
      <c r="E112" s="63" t="s">
        <v>722</v>
      </c>
      <c r="F112" s="63">
        <f t="shared" ca="1" si="2"/>
        <v>33</v>
      </c>
      <c r="G112" s="62" t="str">
        <f ca="1">VLOOKUP(F112,$L$6:$M$16,2,1)</f>
        <v>29-35</v>
      </c>
      <c r="H112" s="63" t="s">
        <v>45</v>
      </c>
      <c r="I112" t="s">
        <v>773</v>
      </c>
    </row>
    <row r="113" spans="1:9" ht="15" customHeight="1">
      <c r="A113" s="63" t="s">
        <v>585</v>
      </c>
      <c r="B113" s="64"/>
      <c r="C113" s="63" t="s">
        <v>77</v>
      </c>
      <c r="D113" s="64"/>
      <c r="E113" s="63" t="s">
        <v>723</v>
      </c>
      <c r="F113" s="63">
        <f t="shared" ca="1" si="2"/>
        <v>30</v>
      </c>
      <c r="G113" s="62" t="str">
        <f ca="1">VLOOKUP(F113,$L$6:$M$16,2,1)</f>
        <v>29-35</v>
      </c>
      <c r="H113" s="63" t="s">
        <v>46</v>
      </c>
      <c r="I113" t="s">
        <v>773</v>
      </c>
    </row>
    <row r="114" spans="1:9" ht="15" customHeight="1">
      <c r="A114" s="63" t="s">
        <v>586</v>
      </c>
      <c r="B114" s="64"/>
      <c r="C114" s="63" t="s">
        <v>57</v>
      </c>
      <c r="D114" s="64"/>
      <c r="E114" s="63" t="s">
        <v>724</v>
      </c>
      <c r="F114" s="63">
        <f t="shared" ca="1" si="2"/>
        <v>23</v>
      </c>
      <c r="G114" s="62" t="str">
        <f ca="1">VLOOKUP(F114,$L$6:$M$16,2,1)</f>
        <v>23-28</v>
      </c>
      <c r="H114" s="63" t="s">
        <v>45</v>
      </c>
      <c r="I114" t="s">
        <v>773</v>
      </c>
    </row>
    <row r="115" spans="1:9" ht="15" customHeight="1">
      <c r="A115" s="63" t="s">
        <v>444</v>
      </c>
      <c r="B115" s="64"/>
      <c r="C115" s="63" t="s">
        <v>57</v>
      </c>
      <c r="D115" s="64"/>
      <c r="E115" s="63" t="s">
        <v>725</v>
      </c>
      <c r="F115" s="63">
        <f t="shared" ca="1" si="2"/>
        <v>40</v>
      </c>
      <c r="G115" s="62" t="str">
        <f ca="1">VLOOKUP(F115,$L$6:$M$16,2,1)</f>
        <v>36-40</v>
      </c>
      <c r="H115" s="63" t="s">
        <v>45</v>
      </c>
      <c r="I115" t="s">
        <v>773</v>
      </c>
    </row>
    <row r="116" spans="1:9" ht="15" customHeight="1">
      <c r="A116" s="63" t="s">
        <v>444</v>
      </c>
      <c r="B116" s="64"/>
      <c r="C116" s="63" t="s">
        <v>77</v>
      </c>
      <c r="D116" s="64"/>
      <c r="E116" s="63" t="s">
        <v>726</v>
      </c>
      <c r="F116" s="63">
        <f t="shared" ca="1" si="2"/>
        <v>39</v>
      </c>
      <c r="G116" s="62" t="str">
        <f ca="1">VLOOKUP(F116,$L$6:$M$16,2,1)</f>
        <v>36-40</v>
      </c>
      <c r="H116" s="63" t="s">
        <v>46</v>
      </c>
      <c r="I116" t="s">
        <v>773</v>
      </c>
    </row>
    <row r="117" spans="1:9" ht="15" customHeight="1">
      <c r="A117" s="63" t="s">
        <v>444</v>
      </c>
      <c r="B117" s="64"/>
      <c r="C117" s="63" t="s">
        <v>52</v>
      </c>
      <c r="D117" s="64"/>
      <c r="E117" s="63" t="s">
        <v>727</v>
      </c>
      <c r="F117" s="63">
        <f t="shared" ca="1" si="2"/>
        <v>4</v>
      </c>
      <c r="G117" s="62" t="str">
        <f ca="1">VLOOKUP(F117,$L$6:$M$16,2,1)</f>
        <v>0-18</v>
      </c>
      <c r="H117" s="63" t="s">
        <v>46</v>
      </c>
      <c r="I117" t="s">
        <v>773</v>
      </c>
    </row>
    <row r="118" spans="1:9" ht="15" customHeight="1">
      <c r="A118" s="63" t="s">
        <v>587</v>
      </c>
      <c r="B118" s="64"/>
      <c r="C118" s="63" t="s">
        <v>57</v>
      </c>
      <c r="D118" s="64"/>
      <c r="E118" s="63" t="s">
        <v>728</v>
      </c>
      <c r="F118" s="63">
        <f t="shared" ca="1" si="2"/>
        <v>25</v>
      </c>
      <c r="G118" s="62" t="str">
        <f ca="1">VLOOKUP(F118,$L$6:$M$16,2,1)</f>
        <v>23-28</v>
      </c>
      <c r="H118" s="63" t="s">
        <v>45</v>
      </c>
      <c r="I118" t="s">
        <v>773</v>
      </c>
    </row>
    <row r="119" spans="1:9" ht="15" customHeight="1">
      <c r="A119" s="63" t="s">
        <v>588</v>
      </c>
      <c r="B119" s="64"/>
      <c r="C119" s="63" t="s">
        <v>57</v>
      </c>
      <c r="D119" s="64"/>
      <c r="E119" s="63" t="s">
        <v>729</v>
      </c>
      <c r="F119" s="63">
        <f t="shared" ca="1" si="2"/>
        <v>23</v>
      </c>
      <c r="G119" s="62" t="str">
        <f ca="1">VLOOKUP(F119,$L$6:$M$16,2,1)</f>
        <v>23-28</v>
      </c>
      <c r="H119" s="63" t="s">
        <v>45</v>
      </c>
      <c r="I119" t="s">
        <v>773</v>
      </c>
    </row>
    <row r="120" spans="1:9" ht="15" customHeight="1">
      <c r="A120" s="63" t="s">
        <v>589</v>
      </c>
      <c r="B120" s="64"/>
      <c r="C120" s="63" t="s">
        <v>57</v>
      </c>
      <c r="D120" s="64"/>
      <c r="E120" s="63" t="s">
        <v>730</v>
      </c>
      <c r="F120" s="63">
        <f t="shared" ca="1" si="2"/>
        <v>29</v>
      </c>
      <c r="G120" s="62" t="str">
        <f ca="1">VLOOKUP(F120,$L$6:$M$16,2,1)</f>
        <v>29-35</v>
      </c>
      <c r="H120" s="63" t="s">
        <v>45</v>
      </c>
      <c r="I120" t="s">
        <v>773</v>
      </c>
    </row>
    <row r="121" spans="1:9" ht="15" customHeight="1">
      <c r="A121" s="63" t="s">
        <v>590</v>
      </c>
      <c r="B121" s="64"/>
      <c r="C121" s="63" t="s">
        <v>57</v>
      </c>
      <c r="D121" s="64"/>
      <c r="E121" s="63" t="s">
        <v>731</v>
      </c>
      <c r="F121" s="63">
        <f t="shared" ca="1" si="2"/>
        <v>22</v>
      </c>
      <c r="G121" s="62" t="str">
        <f ca="1">VLOOKUP(F121,$L$6:$M$16,2,1)</f>
        <v>19-22</v>
      </c>
      <c r="H121" s="63" t="s">
        <v>45</v>
      </c>
      <c r="I121" t="s">
        <v>773</v>
      </c>
    </row>
    <row r="122" spans="1:9" ht="15" customHeight="1">
      <c r="A122" s="63" t="s">
        <v>591</v>
      </c>
      <c r="B122" s="64"/>
      <c r="C122" s="63" t="s">
        <v>57</v>
      </c>
      <c r="D122" s="64"/>
      <c r="E122" s="63" t="s">
        <v>732</v>
      </c>
      <c r="F122" s="63">
        <f t="shared" ca="1" si="2"/>
        <v>22</v>
      </c>
      <c r="G122" s="62" t="str">
        <f ca="1">VLOOKUP(F122,$L$6:$M$16,2,1)</f>
        <v>19-22</v>
      </c>
      <c r="H122" s="63" t="s">
        <v>45</v>
      </c>
      <c r="I122" t="s">
        <v>773</v>
      </c>
    </row>
    <row r="123" spans="1:9" ht="15" customHeight="1">
      <c r="A123" s="63" t="s">
        <v>466</v>
      </c>
      <c r="B123" s="64"/>
      <c r="C123" s="63" t="s">
        <v>57</v>
      </c>
      <c r="D123" s="64"/>
      <c r="E123" s="63" t="s">
        <v>733</v>
      </c>
      <c r="F123" s="63">
        <f t="shared" ca="1" si="2"/>
        <v>35</v>
      </c>
      <c r="G123" s="62" t="str">
        <f ca="1">VLOOKUP(F123,$L$6:$M$16,2,1)</f>
        <v>29-35</v>
      </c>
      <c r="H123" s="63" t="s">
        <v>46</v>
      </c>
      <c r="I123" t="s">
        <v>773</v>
      </c>
    </row>
    <row r="124" spans="1:9" ht="15" customHeight="1">
      <c r="A124" s="63" t="s">
        <v>466</v>
      </c>
      <c r="B124" s="64"/>
      <c r="C124" s="63" t="s">
        <v>612</v>
      </c>
      <c r="D124" s="64"/>
      <c r="E124" s="63" t="s">
        <v>734</v>
      </c>
      <c r="F124" s="63">
        <f t="shared" ca="1" si="2"/>
        <v>37</v>
      </c>
      <c r="G124" s="62" t="str">
        <f ca="1">VLOOKUP(F124,$L$6:$M$16,2,1)</f>
        <v>36-40</v>
      </c>
      <c r="H124" s="63" t="s">
        <v>45</v>
      </c>
      <c r="I124" t="s">
        <v>773</v>
      </c>
    </row>
    <row r="125" spans="1:9" ht="15" customHeight="1">
      <c r="A125" s="63" t="s">
        <v>592</v>
      </c>
      <c r="B125" s="64"/>
      <c r="C125" s="63" t="s">
        <v>57</v>
      </c>
      <c r="D125" s="64"/>
      <c r="E125" s="63" t="s">
        <v>649</v>
      </c>
      <c r="F125" s="63">
        <f t="shared" ca="1" si="2"/>
        <v>26</v>
      </c>
      <c r="G125" s="62" t="str">
        <f ca="1">VLOOKUP(F125,$L$6:$M$16,2,1)</f>
        <v>23-28</v>
      </c>
      <c r="H125" s="63" t="s">
        <v>45</v>
      </c>
      <c r="I125" t="s">
        <v>773</v>
      </c>
    </row>
    <row r="126" spans="1:9" ht="15" customHeight="1">
      <c r="A126" s="63" t="s">
        <v>593</v>
      </c>
      <c r="B126" s="64"/>
      <c r="C126" s="63" t="s">
        <v>57</v>
      </c>
      <c r="D126" s="64"/>
      <c r="E126" s="63" t="s">
        <v>735</v>
      </c>
      <c r="F126" s="63">
        <f t="shared" ca="1" si="2"/>
        <v>24</v>
      </c>
      <c r="G126" s="62" t="str">
        <f ca="1">VLOOKUP(F126,$L$6:$M$16,2,1)</f>
        <v>23-28</v>
      </c>
      <c r="H126" s="63" t="s">
        <v>45</v>
      </c>
      <c r="I126" t="s">
        <v>773</v>
      </c>
    </row>
    <row r="127" spans="1:9" ht="15" customHeight="1">
      <c r="A127" s="63" t="s">
        <v>594</v>
      </c>
      <c r="B127" s="64"/>
      <c r="C127" s="63" t="s">
        <v>57</v>
      </c>
      <c r="D127" s="64"/>
      <c r="E127" s="63" t="s">
        <v>736</v>
      </c>
      <c r="F127" s="63">
        <f t="shared" ca="1" si="2"/>
        <v>53</v>
      </c>
      <c r="G127" s="62" t="str">
        <f ca="1">VLOOKUP(F127,$L$6:$M$16,2,1)</f>
        <v>46-50</v>
      </c>
      <c r="H127" s="63" t="s">
        <v>45</v>
      </c>
      <c r="I127" t="s">
        <v>775</v>
      </c>
    </row>
    <row r="128" spans="1:9" ht="15" customHeight="1">
      <c r="A128" s="63" t="s">
        <v>594</v>
      </c>
      <c r="B128" s="64"/>
      <c r="C128" s="63" t="s">
        <v>77</v>
      </c>
      <c r="D128" s="64"/>
      <c r="E128" s="63" t="s">
        <v>737</v>
      </c>
      <c r="F128" s="63">
        <f t="shared" ca="1" si="2"/>
        <v>42</v>
      </c>
      <c r="G128" s="62" t="str">
        <f ca="1">VLOOKUP(F128,$L$6:$M$16,2,1)</f>
        <v>41-45</v>
      </c>
      <c r="H128" s="63" t="s">
        <v>46</v>
      </c>
      <c r="I128" t="s">
        <v>775</v>
      </c>
    </row>
    <row r="129" spans="1:9" ht="15" customHeight="1">
      <c r="A129" s="63" t="s">
        <v>595</v>
      </c>
      <c r="B129" s="64"/>
      <c r="C129" s="63" t="s">
        <v>57</v>
      </c>
      <c r="D129" s="64"/>
      <c r="E129" s="63" t="s">
        <v>738</v>
      </c>
      <c r="F129" s="63">
        <f t="shared" ca="1" si="2"/>
        <v>47</v>
      </c>
      <c r="G129" s="62" t="str">
        <f ca="1">VLOOKUP(F129,$L$6:$M$16,2,1)</f>
        <v>46-50</v>
      </c>
      <c r="H129" s="63" t="s">
        <v>45</v>
      </c>
      <c r="I129" t="s">
        <v>775</v>
      </c>
    </row>
    <row r="130" spans="1:9" ht="15" customHeight="1">
      <c r="A130" s="63" t="s">
        <v>595</v>
      </c>
      <c r="B130" s="64"/>
      <c r="C130" s="63" t="s">
        <v>77</v>
      </c>
      <c r="D130" s="64"/>
      <c r="E130" s="63" t="s">
        <v>739</v>
      </c>
      <c r="F130" s="63">
        <f t="shared" ref="F130:F164" ca="1" si="3">ROUNDDOWN((TODAY() - E130)/365.25,0)</f>
        <v>43</v>
      </c>
      <c r="G130" s="62" t="str">
        <f ca="1">VLOOKUP(F130,$L$6:$M$16,2,1)</f>
        <v>41-45</v>
      </c>
      <c r="H130" s="63" t="s">
        <v>46</v>
      </c>
      <c r="I130" t="s">
        <v>775</v>
      </c>
    </row>
    <row r="131" spans="1:9" ht="15" customHeight="1">
      <c r="A131" s="63" t="s">
        <v>595</v>
      </c>
      <c r="B131" s="64"/>
      <c r="C131" s="63" t="s">
        <v>53</v>
      </c>
      <c r="D131" s="64"/>
      <c r="E131" s="63" t="s">
        <v>740</v>
      </c>
      <c r="F131" s="63">
        <f t="shared" ca="1" si="3"/>
        <v>26</v>
      </c>
      <c r="G131" s="62" t="str">
        <f ca="1">VLOOKUP(F131,$L$6:$M$16,2,1)</f>
        <v>23-28</v>
      </c>
      <c r="H131" s="63" t="s">
        <v>45</v>
      </c>
      <c r="I131" t="s">
        <v>775</v>
      </c>
    </row>
    <row r="132" spans="1:9" ht="15" customHeight="1">
      <c r="A132" s="63" t="s">
        <v>595</v>
      </c>
      <c r="B132" s="64"/>
      <c r="C132" s="63" t="s">
        <v>53</v>
      </c>
      <c r="D132" s="64"/>
      <c r="E132" s="63" t="s">
        <v>741</v>
      </c>
      <c r="F132" s="63">
        <f t="shared" ca="1" si="3"/>
        <v>20</v>
      </c>
      <c r="G132" s="62" t="str">
        <f ca="1">VLOOKUP(F132,$L$6:$M$16,2,1)</f>
        <v>19-22</v>
      </c>
      <c r="H132" s="63" t="s">
        <v>45</v>
      </c>
      <c r="I132" t="s">
        <v>775</v>
      </c>
    </row>
    <row r="133" spans="1:9" ht="15" customHeight="1">
      <c r="A133" s="63" t="s">
        <v>596</v>
      </c>
      <c r="B133" s="64"/>
      <c r="C133" s="63" t="s">
        <v>57</v>
      </c>
      <c r="D133" s="64"/>
      <c r="E133" s="63" t="s">
        <v>742</v>
      </c>
      <c r="F133" s="63">
        <f t="shared" ca="1" si="3"/>
        <v>39</v>
      </c>
      <c r="G133" s="62" t="str">
        <f ca="1">VLOOKUP(F133,$L$6:$M$16,2,1)</f>
        <v>36-40</v>
      </c>
      <c r="H133" s="63" t="s">
        <v>45</v>
      </c>
      <c r="I133" t="s">
        <v>775</v>
      </c>
    </row>
    <row r="134" spans="1:9" ht="15" customHeight="1">
      <c r="A134" s="63" t="s">
        <v>479</v>
      </c>
      <c r="B134" s="64"/>
      <c r="C134" s="63" t="s">
        <v>57</v>
      </c>
      <c r="D134" s="64"/>
      <c r="E134" s="63" t="s">
        <v>743</v>
      </c>
      <c r="F134" s="63">
        <f t="shared" ca="1" si="3"/>
        <v>44</v>
      </c>
      <c r="G134" s="62" t="str">
        <f ca="1">VLOOKUP(F134,$L$6:$M$16,2,1)</f>
        <v>41-45</v>
      </c>
      <c r="H134" s="63" t="s">
        <v>45</v>
      </c>
      <c r="I134" t="s">
        <v>775</v>
      </c>
    </row>
    <row r="135" spans="1:9" ht="15" customHeight="1">
      <c r="A135" s="63" t="s">
        <v>479</v>
      </c>
      <c r="B135" s="64"/>
      <c r="C135" s="63" t="s">
        <v>77</v>
      </c>
      <c r="D135" s="64"/>
      <c r="E135" s="63" t="s">
        <v>744</v>
      </c>
      <c r="F135" s="63">
        <f t="shared" ca="1" si="3"/>
        <v>35</v>
      </c>
      <c r="G135" s="62" t="str">
        <f ca="1">VLOOKUP(F135,$L$6:$M$16,2,1)</f>
        <v>29-35</v>
      </c>
      <c r="H135" s="63" t="s">
        <v>46</v>
      </c>
      <c r="I135" t="s">
        <v>775</v>
      </c>
    </row>
    <row r="136" spans="1:9" ht="15" customHeight="1">
      <c r="A136" s="63" t="s">
        <v>479</v>
      </c>
      <c r="B136" s="64"/>
      <c r="C136" s="63" t="s">
        <v>53</v>
      </c>
      <c r="D136" s="64"/>
      <c r="E136" s="63" t="s">
        <v>745</v>
      </c>
      <c r="F136" s="63">
        <f t="shared" ca="1" si="3"/>
        <v>11</v>
      </c>
      <c r="G136" s="62" t="str">
        <f ca="1">VLOOKUP(F136,$L$6:$M$16,2,1)</f>
        <v>0-18</v>
      </c>
      <c r="H136" s="63" t="s">
        <v>45</v>
      </c>
      <c r="I136" t="s">
        <v>775</v>
      </c>
    </row>
    <row r="137" spans="1:9" ht="15" customHeight="1">
      <c r="A137" s="63" t="s">
        <v>479</v>
      </c>
      <c r="B137" s="64"/>
      <c r="C137" s="63" t="s">
        <v>52</v>
      </c>
      <c r="D137" s="64"/>
      <c r="E137" s="63" t="s">
        <v>746</v>
      </c>
      <c r="F137" s="63">
        <f t="shared" ca="1" si="3"/>
        <v>13</v>
      </c>
      <c r="G137" s="62" t="str">
        <f ca="1">VLOOKUP(F137,$L$6:$M$16,2,1)</f>
        <v>0-18</v>
      </c>
      <c r="H137" s="63" t="s">
        <v>46</v>
      </c>
      <c r="I137" t="s">
        <v>775</v>
      </c>
    </row>
    <row r="138" spans="1:9" ht="15" customHeight="1">
      <c r="A138" s="63" t="s">
        <v>597</v>
      </c>
      <c r="B138" s="64"/>
      <c r="C138" s="63" t="s">
        <v>57</v>
      </c>
      <c r="D138" s="64"/>
      <c r="E138" s="63" t="s">
        <v>747</v>
      </c>
      <c r="F138" s="63">
        <f t="shared" ca="1" si="3"/>
        <v>37</v>
      </c>
      <c r="G138" s="62" t="str">
        <f ca="1">VLOOKUP(F138,$L$6:$M$16,2,1)</f>
        <v>36-40</v>
      </c>
      <c r="H138" s="63" t="s">
        <v>45</v>
      </c>
      <c r="I138" t="s">
        <v>775</v>
      </c>
    </row>
    <row r="139" spans="1:9" ht="15" customHeight="1">
      <c r="A139" s="63" t="s">
        <v>597</v>
      </c>
      <c r="B139" s="64"/>
      <c r="C139" s="63" t="s">
        <v>77</v>
      </c>
      <c r="D139" s="64"/>
      <c r="E139" s="63" t="s">
        <v>748</v>
      </c>
      <c r="F139" s="63">
        <f t="shared" ca="1" si="3"/>
        <v>27</v>
      </c>
      <c r="G139" s="62" t="str">
        <f ca="1">VLOOKUP(F139,$L$6:$M$16,2,1)</f>
        <v>23-28</v>
      </c>
      <c r="H139" s="63" t="s">
        <v>46</v>
      </c>
      <c r="I139" t="s">
        <v>775</v>
      </c>
    </row>
    <row r="140" spans="1:9" ht="15" customHeight="1">
      <c r="A140" s="63" t="s">
        <v>597</v>
      </c>
      <c r="B140" s="64"/>
      <c r="C140" s="63" t="s">
        <v>53</v>
      </c>
      <c r="D140" s="64"/>
      <c r="E140" s="63" t="s">
        <v>749</v>
      </c>
      <c r="F140" s="63">
        <f t="shared" ca="1" si="3"/>
        <v>7</v>
      </c>
      <c r="G140" s="62" t="str">
        <f ca="1">VLOOKUP(F140,$L$6:$M$16,2,1)</f>
        <v>0-18</v>
      </c>
      <c r="H140" s="63" t="s">
        <v>45</v>
      </c>
      <c r="I140" t="s">
        <v>775</v>
      </c>
    </row>
    <row r="141" spans="1:9" ht="15" customHeight="1">
      <c r="A141" s="63" t="s">
        <v>597</v>
      </c>
      <c r="B141" s="64"/>
      <c r="C141" s="63" t="s">
        <v>53</v>
      </c>
      <c r="D141" s="64"/>
      <c r="E141" s="63" t="s">
        <v>750</v>
      </c>
      <c r="F141" s="63">
        <f t="shared" ca="1" si="3"/>
        <v>3</v>
      </c>
      <c r="G141" s="62" t="str">
        <f ca="1">VLOOKUP(F141,$L$6:$M$16,2,1)</f>
        <v>0-18</v>
      </c>
      <c r="H141" s="63" t="s">
        <v>45</v>
      </c>
      <c r="I141" t="s">
        <v>775</v>
      </c>
    </row>
    <row r="142" spans="1:9" ht="15" customHeight="1">
      <c r="A142" s="63" t="s">
        <v>493</v>
      </c>
      <c r="B142" s="64"/>
      <c r="C142" s="63" t="s">
        <v>57</v>
      </c>
      <c r="D142" s="64"/>
      <c r="E142" s="63" t="s">
        <v>751</v>
      </c>
      <c r="F142" s="63">
        <f t="shared" ca="1" si="3"/>
        <v>41</v>
      </c>
      <c r="G142" s="62" t="str">
        <f ca="1">VLOOKUP(F142,$L$6:$M$16,2,1)</f>
        <v>41-45</v>
      </c>
      <c r="H142" s="63" t="s">
        <v>45</v>
      </c>
      <c r="I142" t="s">
        <v>775</v>
      </c>
    </row>
    <row r="143" spans="1:9" ht="15" customHeight="1">
      <c r="A143" s="63" t="s">
        <v>493</v>
      </c>
      <c r="B143" s="64"/>
      <c r="C143" s="63" t="s">
        <v>77</v>
      </c>
      <c r="D143" s="64"/>
      <c r="E143" s="63" t="s">
        <v>752</v>
      </c>
      <c r="F143" s="63">
        <f t="shared" ca="1" si="3"/>
        <v>29</v>
      </c>
      <c r="G143" s="62" t="str">
        <f ca="1">VLOOKUP(F143,$L$6:$M$16,2,1)</f>
        <v>29-35</v>
      </c>
      <c r="H143" s="63" t="s">
        <v>46</v>
      </c>
      <c r="I143" t="s">
        <v>775</v>
      </c>
    </row>
    <row r="144" spans="1:9" ht="15" customHeight="1">
      <c r="A144" s="63" t="s">
        <v>493</v>
      </c>
      <c r="B144" s="64"/>
      <c r="C144" s="63" t="s">
        <v>52</v>
      </c>
      <c r="D144" s="64"/>
      <c r="E144" s="63" t="s">
        <v>753</v>
      </c>
      <c r="F144" s="63">
        <f t="shared" ca="1" si="3"/>
        <v>6</v>
      </c>
      <c r="G144" s="62" t="str">
        <f ca="1">VLOOKUP(F144,$L$6:$M$16,2,1)</f>
        <v>0-18</v>
      </c>
      <c r="H144" s="63" t="s">
        <v>46</v>
      </c>
      <c r="I144" t="s">
        <v>775</v>
      </c>
    </row>
    <row r="145" spans="1:9" ht="15" customHeight="1">
      <c r="A145" s="63" t="s">
        <v>598</v>
      </c>
      <c r="B145" s="64"/>
      <c r="C145" s="63" t="s">
        <v>57</v>
      </c>
      <c r="D145" s="64"/>
      <c r="E145" s="63" t="s">
        <v>754</v>
      </c>
      <c r="F145" s="63">
        <f t="shared" ca="1" si="3"/>
        <v>28</v>
      </c>
      <c r="G145" s="62" t="str">
        <f ca="1">VLOOKUP(F145,$L$6:$M$16,2,1)</f>
        <v>23-28</v>
      </c>
      <c r="H145" s="63" t="s">
        <v>45</v>
      </c>
      <c r="I145" t="s">
        <v>775</v>
      </c>
    </row>
    <row r="146" spans="1:9" ht="15" customHeight="1">
      <c r="A146" s="63" t="s">
        <v>571</v>
      </c>
      <c r="B146" s="64"/>
      <c r="C146" s="63" t="s">
        <v>52</v>
      </c>
      <c r="D146" s="64"/>
      <c r="E146" s="63" t="s">
        <v>755</v>
      </c>
      <c r="F146" s="63">
        <f t="shared" ca="1" si="3"/>
        <v>2</v>
      </c>
      <c r="G146" s="62" t="str">
        <f ca="1">VLOOKUP(F146,$L$6:$M$16,2,1)</f>
        <v>0-18</v>
      </c>
      <c r="H146" s="63" t="s">
        <v>46</v>
      </c>
      <c r="I146" t="s">
        <v>775</v>
      </c>
    </row>
    <row r="147" spans="1:9" ht="15" customHeight="1">
      <c r="A147" s="63" t="s">
        <v>600</v>
      </c>
      <c r="B147" s="64"/>
      <c r="C147" s="63" t="s">
        <v>57</v>
      </c>
      <c r="D147" s="64"/>
      <c r="E147" s="63" t="s">
        <v>756</v>
      </c>
      <c r="F147" s="63">
        <f t="shared" ca="1" si="3"/>
        <v>26</v>
      </c>
      <c r="G147" s="62" t="str">
        <f ca="1">VLOOKUP(F147,$L$6:$M$16,2,1)</f>
        <v>23-28</v>
      </c>
      <c r="H147" s="63" t="s">
        <v>45</v>
      </c>
      <c r="I147" t="s">
        <v>773</v>
      </c>
    </row>
    <row r="148" spans="1:9" ht="15" customHeight="1">
      <c r="A148" s="63" t="s">
        <v>601</v>
      </c>
      <c r="B148" s="64"/>
      <c r="C148" s="63" t="s">
        <v>57</v>
      </c>
      <c r="D148" s="64"/>
      <c r="E148" s="63" t="s">
        <v>757</v>
      </c>
      <c r="F148" s="63">
        <f t="shared" ca="1" si="3"/>
        <v>34</v>
      </c>
      <c r="G148" s="62" t="str">
        <f ca="1">VLOOKUP(F148,$L$6:$M$16,2,1)</f>
        <v>29-35</v>
      </c>
      <c r="H148" s="63" t="s">
        <v>45</v>
      </c>
      <c r="I148" t="s">
        <v>773</v>
      </c>
    </row>
    <row r="149" spans="1:9" ht="15" customHeight="1">
      <c r="A149" s="63" t="s">
        <v>602</v>
      </c>
      <c r="B149" s="64"/>
      <c r="C149" s="63" t="s">
        <v>57</v>
      </c>
      <c r="D149" s="64"/>
      <c r="E149" s="63" t="s">
        <v>758</v>
      </c>
      <c r="F149" s="63">
        <f t="shared" ca="1" si="3"/>
        <v>26</v>
      </c>
      <c r="G149" s="62" t="str">
        <f ca="1">VLOOKUP(F149,$L$6:$M$16,2,1)</f>
        <v>23-28</v>
      </c>
      <c r="H149" s="63" t="s">
        <v>45</v>
      </c>
      <c r="I149" t="s">
        <v>773</v>
      </c>
    </row>
    <row r="150" spans="1:9" ht="15" customHeight="1">
      <c r="A150" s="63" t="s">
        <v>302</v>
      </c>
      <c r="B150" s="64"/>
      <c r="C150" s="63" t="s">
        <v>52</v>
      </c>
      <c r="D150" s="64"/>
      <c r="E150" s="63" t="s">
        <v>759</v>
      </c>
      <c r="F150" s="63">
        <f t="shared" ca="1" si="3"/>
        <v>14</v>
      </c>
      <c r="G150" s="62" t="str">
        <f ca="1">VLOOKUP(F150,$L$6:$M$16,2,1)</f>
        <v>0-18</v>
      </c>
      <c r="H150" s="63" t="s">
        <v>46</v>
      </c>
      <c r="I150" t="s">
        <v>773</v>
      </c>
    </row>
    <row r="151" spans="1:9" ht="15" customHeight="1">
      <c r="A151" s="63" t="s">
        <v>353</v>
      </c>
      <c r="B151" s="64"/>
      <c r="C151" s="63" t="s">
        <v>77</v>
      </c>
      <c r="D151" s="64"/>
      <c r="E151" s="63" t="s">
        <v>760</v>
      </c>
      <c r="F151" s="63">
        <f t="shared" ca="1" si="3"/>
        <v>56</v>
      </c>
      <c r="G151" s="62" t="str">
        <f ca="1">VLOOKUP(F151,$L$6:$M$16,2,1)</f>
        <v>46-50</v>
      </c>
      <c r="H151" s="63" t="s">
        <v>46</v>
      </c>
      <c r="I151" t="s">
        <v>773</v>
      </c>
    </row>
    <row r="152" spans="1:9" ht="15" customHeight="1">
      <c r="A152" s="63" t="s">
        <v>603</v>
      </c>
      <c r="B152" s="64"/>
      <c r="C152" s="63" t="s">
        <v>57</v>
      </c>
      <c r="D152" s="64"/>
      <c r="E152" s="63" t="s">
        <v>761</v>
      </c>
      <c r="F152" s="63">
        <f t="shared" ca="1" si="3"/>
        <v>28</v>
      </c>
      <c r="G152" s="62" t="str">
        <f ca="1">VLOOKUP(F152,$L$6:$M$16,2,1)</f>
        <v>23-28</v>
      </c>
      <c r="H152" s="63" t="s">
        <v>45</v>
      </c>
      <c r="I152" t="s">
        <v>773</v>
      </c>
    </row>
    <row r="153" spans="1:9" ht="15" customHeight="1">
      <c r="A153" s="63" t="s">
        <v>599</v>
      </c>
      <c r="B153" s="64"/>
      <c r="C153" s="63" t="s">
        <v>77</v>
      </c>
      <c r="D153" s="64"/>
      <c r="E153" s="63" t="s">
        <v>762</v>
      </c>
      <c r="F153" s="63">
        <f t="shared" ca="1" si="3"/>
        <v>21</v>
      </c>
      <c r="G153" s="62" t="str">
        <f ca="1">VLOOKUP(F153,$L$6:$M$16,2,1)</f>
        <v>19-22</v>
      </c>
      <c r="H153" s="63" t="s">
        <v>46</v>
      </c>
      <c r="I153" t="s">
        <v>773</v>
      </c>
    </row>
    <row r="154" spans="1:9" ht="15" customHeight="1">
      <c r="A154" s="63" t="s">
        <v>604</v>
      </c>
      <c r="B154" s="64"/>
      <c r="C154" s="63" t="s">
        <v>57</v>
      </c>
      <c r="D154" s="64"/>
      <c r="E154" s="63" t="s">
        <v>764</v>
      </c>
      <c r="F154" s="63">
        <f t="shared" ca="1" si="3"/>
        <v>23</v>
      </c>
      <c r="G154" s="62" t="str">
        <f ca="1">VLOOKUP(F154,$L$6:$M$16,2,1)</f>
        <v>23-28</v>
      </c>
      <c r="H154" s="63" t="s">
        <v>45</v>
      </c>
      <c r="I154" t="s">
        <v>773</v>
      </c>
    </row>
    <row r="155" spans="1:9" ht="15" customHeight="1">
      <c r="A155" s="63" t="s">
        <v>599</v>
      </c>
      <c r="B155" s="64"/>
      <c r="C155" s="63" t="s">
        <v>57</v>
      </c>
      <c r="D155" s="64"/>
      <c r="E155" s="63" t="s">
        <v>765</v>
      </c>
      <c r="F155" s="63">
        <f t="shared" ca="1" si="3"/>
        <v>24</v>
      </c>
      <c r="G155" s="62" t="str">
        <f ca="1">VLOOKUP(F155,$L$6:$M$16,2,1)</f>
        <v>23-28</v>
      </c>
      <c r="H155" s="63" t="s">
        <v>45</v>
      </c>
      <c r="I155" t="s">
        <v>775</v>
      </c>
    </row>
    <row r="156" spans="1:9" ht="15" customHeight="1">
      <c r="A156" s="63" t="s">
        <v>605</v>
      </c>
      <c r="B156" s="64"/>
      <c r="C156" s="63" t="s">
        <v>57</v>
      </c>
      <c r="D156" s="64"/>
      <c r="E156" s="63" t="s">
        <v>766</v>
      </c>
      <c r="F156" s="63">
        <f t="shared" ca="1" si="3"/>
        <v>23</v>
      </c>
      <c r="G156" s="62" t="str">
        <f ca="1">VLOOKUP(F156,$L$6:$M$16,2,1)</f>
        <v>23-28</v>
      </c>
      <c r="H156" s="63" t="s">
        <v>45</v>
      </c>
      <c r="I156" t="s">
        <v>773</v>
      </c>
    </row>
    <row r="157" spans="1:9" ht="15" customHeight="1">
      <c r="A157" s="63" t="s">
        <v>606</v>
      </c>
      <c r="B157" s="64"/>
      <c r="C157" s="63" t="s">
        <v>57</v>
      </c>
      <c r="D157" s="64"/>
      <c r="E157" s="63" t="s">
        <v>767</v>
      </c>
      <c r="F157" s="63">
        <f t="shared" ca="1" si="3"/>
        <v>25</v>
      </c>
      <c r="G157" s="62" t="str">
        <f ca="1">VLOOKUP(F157,$L$6:$M$16,2,1)</f>
        <v>23-28</v>
      </c>
      <c r="H157" s="63" t="s">
        <v>45</v>
      </c>
      <c r="I157" t="s">
        <v>773</v>
      </c>
    </row>
    <row r="158" spans="1:9" ht="15" customHeight="1">
      <c r="A158" s="63" t="s">
        <v>607</v>
      </c>
      <c r="B158" s="64"/>
      <c r="C158" s="63" t="s">
        <v>57</v>
      </c>
      <c r="D158" s="64"/>
      <c r="E158" s="63" t="s">
        <v>768</v>
      </c>
      <c r="F158" s="63">
        <f t="shared" ca="1" si="3"/>
        <v>27</v>
      </c>
      <c r="G158" s="62" t="str">
        <f ca="1">VLOOKUP(F158,$L$6:$M$16,2,1)</f>
        <v>23-28</v>
      </c>
      <c r="H158" s="63" t="s">
        <v>45</v>
      </c>
      <c r="I158" t="s">
        <v>773</v>
      </c>
    </row>
    <row r="159" spans="1:9" ht="15" customHeight="1">
      <c r="A159" s="63" t="s">
        <v>556</v>
      </c>
      <c r="B159" s="64"/>
      <c r="C159" s="63" t="s">
        <v>57</v>
      </c>
      <c r="D159" s="64"/>
      <c r="E159" s="63" t="s">
        <v>769</v>
      </c>
      <c r="F159" s="63">
        <f t="shared" ca="1" si="3"/>
        <v>36</v>
      </c>
      <c r="G159" s="62" t="str">
        <f ca="1">VLOOKUP(F159,$L$6:$M$16,2,1)</f>
        <v>36-40</v>
      </c>
      <c r="H159" s="63" t="s">
        <v>45</v>
      </c>
      <c r="I159" t="s">
        <v>773</v>
      </c>
    </row>
    <row r="160" spans="1:9" ht="15" customHeight="1">
      <c r="A160" s="63" t="s">
        <v>556</v>
      </c>
      <c r="B160" s="64"/>
      <c r="C160" s="63" t="s">
        <v>77</v>
      </c>
      <c r="D160" s="64"/>
      <c r="E160" s="63" t="s">
        <v>770</v>
      </c>
      <c r="F160" s="63">
        <f t="shared" ca="1" si="3"/>
        <v>34</v>
      </c>
      <c r="G160" s="62" t="str">
        <f ca="1">VLOOKUP(F160,$L$6:$M$16,2,1)</f>
        <v>29-35</v>
      </c>
      <c r="H160" s="63" t="s">
        <v>46</v>
      </c>
      <c r="I160" t="s">
        <v>773</v>
      </c>
    </row>
    <row r="161" spans="1:9" ht="15" customHeight="1">
      <c r="A161" s="63" t="s">
        <v>556</v>
      </c>
      <c r="B161" s="64"/>
      <c r="C161" s="63" t="s">
        <v>52</v>
      </c>
      <c r="D161" s="64"/>
      <c r="E161" s="63" t="s">
        <v>771</v>
      </c>
      <c r="F161" s="63">
        <f t="shared" ca="1" si="3"/>
        <v>10</v>
      </c>
      <c r="G161" s="62" t="str">
        <f ca="1">VLOOKUP(F161,$L$6:$M$16,2,1)</f>
        <v>0-18</v>
      </c>
      <c r="H161" s="63" t="s">
        <v>46</v>
      </c>
      <c r="I161" t="s">
        <v>773</v>
      </c>
    </row>
    <row r="162" spans="1:9" ht="15" customHeight="1">
      <c r="A162" s="63" t="s">
        <v>556</v>
      </c>
      <c r="B162" s="64"/>
      <c r="C162" s="63" t="s">
        <v>52</v>
      </c>
      <c r="D162" s="64"/>
      <c r="E162" s="63" t="s">
        <v>772</v>
      </c>
      <c r="F162" s="63">
        <f t="shared" ca="1" si="3"/>
        <v>4</v>
      </c>
      <c r="G162" s="62" t="str">
        <f ca="1">VLOOKUP(F162,$L$6:$M$16,2,1)</f>
        <v>0-18</v>
      </c>
      <c r="H162" s="63" t="s">
        <v>46</v>
      </c>
      <c r="I162" t="s">
        <v>773</v>
      </c>
    </row>
    <row r="163" spans="1:9" ht="15" customHeight="1">
      <c r="A163" s="63" t="s">
        <v>608</v>
      </c>
      <c r="B163" s="64"/>
      <c r="C163" s="63" t="s">
        <v>57</v>
      </c>
      <c r="D163" s="64"/>
      <c r="E163" s="68">
        <v>33035</v>
      </c>
      <c r="F163" s="63">
        <f t="shared" ca="1" si="3"/>
        <v>34</v>
      </c>
      <c r="G163" s="62" t="str">
        <f ca="1">VLOOKUP(F163,$L$6:$M$16,2,1)</f>
        <v>29-35</v>
      </c>
      <c r="H163" s="63" t="s">
        <v>45</v>
      </c>
      <c r="I163" t="s">
        <v>773</v>
      </c>
    </row>
    <row r="164" spans="1:9" ht="15" customHeight="1">
      <c r="A164" s="63" t="s">
        <v>609</v>
      </c>
      <c r="B164" s="64"/>
      <c r="C164" s="63" t="s">
        <v>58</v>
      </c>
      <c r="D164" s="64"/>
      <c r="E164" s="68">
        <v>32992</v>
      </c>
      <c r="F164" s="63">
        <f t="shared" ca="1" si="3"/>
        <v>34</v>
      </c>
      <c r="G164" s="62" t="str">
        <f ca="1">VLOOKUP(F164,$L$6:$M$16,2,1)</f>
        <v>29-35</v>
      </c>
      <c r="H164" s="63" t="s">
        <v>46</v>
      </c>
      <c r="I164" t="s">
        <v>773</v>
      </c>
    </row>
    <row r="165" spans="1:9" ht="15" customHeight="1">
      <c r="A165" s="63" t="s">
        <v>610</v>
      </c>
      <c r="B165" s="64"/>
      <c r="C165" s="63" t="s">
        <v>613</v>
      </c>
      <c r="D165" s="64"/>
      <c r="E165" s="68">
        <v>43878</v>
      </c>
      <c r="F165" s="63">
        <f t="shared" ref="F165:F166" ca="1" si="4">ROUNDDOWN((TODAY() - E165)/365.25,0)</f>
        <v>5</v>
      </c>
      <c r="G165" s="62" t="str">
        <f ca="1">VLOOKUP(F165,$L$6:$M$16,2,1)</f>
        <v>0-18</v>
      </c>
      <c r="H165" s="63" t="s">
        <v>46</v>
      </c>
      <c r="I165" t="s">
        <v>773</v>
      </c>
    </row>
    <row r="166" spans="1:9" ht="15" customHeight="1">
      <c r="A166" s="63" t="s">
        <v>611</v>
      </c>
      <c r="B166" s="64"/>
      <c r="C166" s="63" t="s">
        <v>53</v>
      </c>
      <c r="D166" s="64"/>
      <c r="E166" s="68">
        <v>45608</v>
      </c>
      <c r="F166" s="63">
        <f t="shared" ca="1" si="4"/>
        <v>0</v>
      </c>
      <c r="G166" s="62" t="str">
        <f ca="1">VLOOKUP(F166,$L$6:$M$16,2,1)</f>
        <v>0-18</v>
      </c>
      <c r="H166" s="63" t="s">
        <v>45</v>
      </c>
      <c r="I166" t="s">
        <v>773</v>
      </c>
    </row>
  </sheetData>
  <autoFilter ref="A1:H166" xr:uid="{00000000-0009-0000-0000-000001000000}"/>
  <phoneticPr fontId="25" type="noConversion"/>
  <conditionalFormatting sqref="A2:A166">
    <cfRule type="expression" priority="65">
      <formula>COUNTIF($A$3:$A$166,A2)&gt;4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8"/>
  <sheetViews>
    <sheetView tabSelected="1" topLeftCell="A21" workbookViewId="0">
      <selection activeCell="C31" sqref="C31:E31"/>
    </sheetView>
  </sheetViews>
  <sheetFormatPr defaultColWidth="17.42578125" defaultRowHeight="15"/>
  <cols>
    <col min="1" max="1" width="4.140625" style="1" customWidth="1"/>
    <col min="2" max="2" width="14.140625" style="1" customWidth="1"/>
    <col min="3" max="3" width="22" style="1" customWidth="1"/>
    <col min="4" max="4" width="23.28515625" style="1" customWidth="1"/>
    <col min="5" max="5" width="36.85546875" style="1" customWidth="1"/>
    <col min="6" max="6" width="45.28515625" style="1" bestFit="1" customWidth="1"/>
    <col min="7" max="16384" width="17.42578125" style="1"/>
  </cols>
  <sheetData>
    <row r="1" spans="2:8" ht="15.75" thickBot="1"/>
    <row r="2" spans="2:8" ht="48" customHeight="1" thickBot="1">
      <c r="B2" s="114" t="s">
        <v>0</v>
      </c>
      <c r="C2" s="115"/>
      <c r="D2" s="115"/>
      <c r="E2" s="115"/>
      <c r="F2" s="116"/>
    </row>
    <row r="3" spans="2:8">
      <c r="B3" s="117"/>
      <c r="C3" s="118"/>
      <c r="D3" s="118"/>
      <c r="E3" s="118"/>
      <c r="F3" s="119"/>
    </row>
    <row r="4" spans="2:8" ht="17.25" customHeight="1">
      <c r="B4" s="120" t="s">
        <v>1</v>
      </c>
      <c r="C4" s="121"/>
      <c r="D4" s="122" t="s">
        <v>94</v>
      </c>
      <c r="E4" s="123"/>
      <c r="F4" s="124"/>
    </row>
    <row r="5" spans="2:8">
      <c r="B5" s="120" t="s">
        <v>2</v>
      </c>
      <c r="C5" s="121"/>
      <c r="D5" s="125" t="s">
        <v>95</v>
      </c>
      <c r="E5" s="125"/>
      <c r="F5" s="126"/>
    </row>
    <row r="6" spans="2:8">
      <c r="B6" s="105"/>
      <c r="C6" s="106"/>
      <c r="D6" s="106"/>
      <c r="E6" s="106"/>
      <c r="F6" s="107"/>
    </row>
    <row r="7" spans="2:8">
      <c r="B7" s="92" t="s">
        <v>40</v>
      </c>
      <c r="C7" s="93"/>
      <c r="D7" s="3">
        <v>66</v>
      </c>
      <c r="E7" s="24" t="s">
        <v>3</v>
      </c>
      <c r="F7" s="34" t="s">
        <v>75</v>
      </c>
    </row>
    <row r="8" spans="2:8">
      <c r="B8" s="92" t="s">
        <v>41</v>
      </c>
      <c r="C8" s="93"/>
      <c r="D8" s="3">
        <v>99</v>
      </c>
      <c r="E8" s="24" t="s">
        <v>4</v>
      </c>
      <c r="F8" s="31">
        <v>2648000</v>
      </c>
      <c r="G8" s="36"/>
    </row>
    <row r="9" spans="2:8">
      <c r="B9" s="23" t="s">
        <v>50</v>
      </c>
      <c r="C9" s="33"/>
      <c r="D9" s="37">
        <v>45419</v>
      </c>
      <c r="E9" s="24" t="s">
        <v>51</v>
      </c>
      <c r="F9" s="39">
        <v>45783</v>
      </c>
      <c r="G9" s="36"/>
    </row>
    <row r="10" spans="2:8">
      <c r="B10" s="92" t="s">
        <v>42</v>
      </c>
      <c r="C10" s="93"/>
      <c r="D10" s="3">
        <f>D7+D8</f>
        <v>165</v>
      </c>
      <c r="E10" s="24" t="s">
        <v>5</v>
      </c>
      <c r="F10" s="4"/>
      <c r="G10" s="5"/>
      <c r="H10" s="30"/>
    </row>
    <row r="11" spans="2:8">
      <c r="B11" s="108" t="s">
        <v>60</v>
      </c>
      <c r="C11" s="109"/>
      <c r="D11" s="112">
        <v>246</v>
      </c>
      <c r="E11" s="24" t="s">
        <v>6</v>
      </c>
      <c r="F11" s="31">
        <f>F8</f>
        <v>2648000</v>
      </c>
      <c r="G11" s="5"/>
    </row>
    <row r="12" spans="2:8">
      <c r="B12" s="110"/>
      <c r="C12" s="111"/>
      <c r="D12" s="113"/>
      <c r="E12" s="24" t="s">
        <v>780</v>
      </c>
      <c r="F12" s="31">
        <v>2690586</v>
      </c>
      <c r="G12" s="6"/>
    </row>
    <row r="13" spans="2:8">
      <c r="B13" s="92" t="s">
        <v>7</v>
      </c>
      <c r="C13" s="93"/>
      <c r="D13" s="3">
        <f>D11+D12</f>
        <v>246</v>
      </c>
      <c r="E13" s="23" t="s">
        <v>8</v>
      </c>
      <c r="F13" s="32">
        <f>F12/F8</f>
        <v>1.016082326283988</v>
      </c>
      <c r="G13" s="6"/>
      <c r="H13" s="17"/>
    </row>
    <row r="14" spans="2:8" ht="14.45" customHeight="1">
      <c r="B14" s="94" t="s">
        <v>9</v>
      </c>
      <c r="C14" s="95"/>
      <c r="D14" s="3">
        <f>D13-D10</f>
        <v>81</v>
      </c>
      <c r="E14" s="24" t="s">
        <v>10</v>
      </c>
      <c r="F14" s="4" t="s">
        <v>96</v>
      </c>
    </row>
    <row r="15" spans="2:8" ht="15.75" thickBot="1">
      <c r="B15" s="96"/>
      <c r="C15" s="97"/>
      <c r="D15" s="97"/>
      <c r="E15" s="97"/>
      <c r="F15" s="98"/>
    </row>
    <row r="16" spans="2:8" ht="28.7" customHeight="1" thickBot="1">
      <c r="B16" s="99" t="s">
        <v>54</v>
      </c>
      <c r="C16" s="100"/>
      <c r="D16" s="100"/>
      <c r="E16" s="100"/>
      <c r="F16" s="101"/>
    </row>
    <row r="17" spans="2:6" ht="15.75" thickBot="1">
      <c r="B17" s="102" t="s">
        <v>11</v>
      </c>
      <c r="C17" s="103"/>
      <c r="D17" s="103"/>
      <c r="E17" s="103"/>
      <c r="F17" s="104"/>
    </row>
    <row r="18" spans="2:6" s="2" customFormat="1" ht="15.75" thickBot="1">
      <c r="B18" s="25" t="s">
        <v>12</v>
      </c>
      <c r="C18" s="86"/>
      <c r="D18" s="87"/>
      <c r="E18" s="87"/>
      <c r="F18" s="28" t="s">
        <v>13</v>
      </c>
    </row>
    <row r="19" spans="2:6">
      <c r="B19" s="7">
        <v>1</v>
      </c>
      <c r="C19" s="88" t="s">
        <v>779</v>
      </c>
      <c r="D19" s="89"/>
      <c r="E19" s="90"/>
      <c r="F19" s="29" t="s">
        <v>14</v>
      </c>
    </row>
    <row r="20" spans="2:6" ht="123" customHeight="1">
      <c r="B20" s="7">
        <v>2</v>
      </c>
      <c r="C20" s="85" t="s">
        <v>774</v>
      </c>
      <c r="D20" s="78"/>
      <c r="E20" s="91"/>
      <c r="F20" s="8" t="s">
        <v>14</v>
      </c>
    </row>
    <row r="21" spans="2:6" ht="44.25" customHeight="1">
      <c r="B21" s="7">
        <v>3</v>
      </c>
      <c r="C21" s="85" t="s">
        <v>776</v>
      </c>
      <c r="D21" s="78"/>
      <c r="E21" s="91"/>
      <c r="F21" s="8" t="s">
        <v>14</v>
      </c>
    </row>
    <row r="22" spans="2:6">
      <c r="B22" s="7">
        <v>4</v>
      </c>
      <c r="C22" s="81" t="s">
        <v>15</v>
      </c>
      <c r="D22" s="82"/>
      <c r="E22" s="82"/>
      <c r="F22" s="8" t="s">
        <v>14</v>
      </c>
    </row>
    <row r="23" spans="2:6">
      <c r="B23" s="7">
        <v>5</v>
      </c>
      <c r="C23" s="81" t="s">
        <v>16</v>
      </c>
      <c r="D23" s="82"/>
      <c r="E23" s="82"/>
      <c r="F23" s="8" t="s">
        <v>14</v>
      </c>
    </row>
    <row r="24" spans="2:6">
      <c r="B24" s="7">
        <v>6</v>
      </c>
      <c r="C24" s="77" t="s">
        <v>17</v>
      </c>
      <c r="D24" s="78"/>
      <c r="E24" s="78"/>
      <c r="F24" s="8" t="s">
        <v>14</v>
      </c>
    </row>
    <row r="25" spans="2:6">
      <c r="B25" s="7">
        <v>7</v>
      </c>
      <c r="C25" s="81" t="s">
        <v>18</v>
      </c>
      <c r="D25" s="82"/>
      <c r="E25" s="82"/>
      <c r="F25" s="8" t="s">
        <v>14</v>
      </c>
    </row>
    <row r="26" spans="2:6" ht="33" customHeight="1">
      <c r="B26" s="7">
        <v>8</v>
      </c>
      <c r="C26" s="85" t="s">
        <v>777</v>
      </c>
      <c r="D26" s="78"/>
      <c r="E26" s="78"/>
      <c r="F26" s="8" t="s">
        <v>14</v>
      </c>
    </row>
    <row r="27" spans="2:6">
      <c r="B27" s="7">
        <v>9</v>
      </c>
      <c r="C27" s="77" t="s">
        <v>20</v>
      </c>
      <c r="D27" s="78"/>
      <c r="E27" s="78"/>
      <c r="F27" s="8" t="s">
        <v>14</v>
      </c>
    </row>
    <row r="28" spans="2:6">
      <c r="B28" s="7">
        <v>10</v>
      </c>
      <c r="C28" s="81" t="s">
        <v>21</v>
      </c>
      <c r="D28" s="82"/>
      <c r="E28" s="82"/>
      <c r="F28" s="8" t="s">
        <v>14</v>
      </c>
    </row>
    <row r="29" spans="2:6" ht="36.6" customHeight="1">
      <c r="B29" s="7">
        <v>11</v>
      </c>
      <c r="C29" s="77" t="s">
        <v>22</v>
      </c>
      <c r="D29" s="78"/>
      <c r="E29" s="78"/>
      <c r="F29" s="8" t="s">
        <v>14</v>
      </c>
    </row>
    <row r="30" spans="2:6" ht="20.100000000000001" customHeight="1">
      <c r="B30" s="7">
        <v>12</v>
      </c>
      <c r="C30" s="77" t="s">
        <v>23</v>
      </c>
      <c r="D30" s="78"/>
      <c r="E30" s="78"/>
      <c r="F30" s="8" t="s">
        <v>14</v>
      </c>
    </row>
    <row r="31" spans="2:6">
      <c r="B31" s="7">
        <v>13</v>
      </c>
      <c r="C31" s="72" t="s">
        <v>56</v>
      </c>
      <c r="D31" s="70"/>
      <c r="E31" s="71"/>
      <c r="F31" s="8" t="s">
        <v>14</v>
      </c>
    </row>
    <row r="32" spans="2:6">
      <c r="B32" s="7">
        <v>14</v>
      </c>
      <c r="C32" s="69" t="s">
        <v>92</v>
      </c>
      <c r="D32" s="70"/>
      <c r="E32" s="71"/>
      <c r="F32" s="8" t="s">
        <v>14</v>
      </c>
    </row>
    <row r="33" spans="2:6" ht="97.5" customHeight="1">
      <c r="B33" s="7">
        <v>15</v>
      </c>
      <c r="C33" s="72" t="s">
        <v>778</v>
      </c>
      <c r="D33" s="70"/>
      <c r="E33" s="71"/>
      <c r="F33" s="8" t="s">
        <v>14</v>
      </c>
    </row>
    <row r="34" spans="2:6">
      <c r="B34" s="7">
        <v>16</v>
      </c>
      <c r="C34" s="81" t="s">
        <v>24</v>
      </c>
      <c r="D34" s="82"/>
      <c r="E34" s="82"/>
      <c r="F34" s="8" t="s">
        <v>14</v>
      </c>
    </row>
    <row r="35" spans="2:6">
      <c r="B35" s="7">
        <v>17</v>
      </c>
      <c r="C35" s="83" t="s">
        <v>43</v>
      </c>
      <c r="D35" s="84"/>
      <c r="E35" s="84"/>
      <c r="F35" s="9" t="s">
        <v>19</v>
      </c>
    </row>
    <row r="36" spans="2:6">
      <c r="B36" s="7">
        <v>18</v>
      </c>
      <c r="C36" s="77" t="s">
        <v>25</v>
      </c>
      <c r="D36" s="78"/>
      <c r="E36" s="78"/>
      <c r="F36" s="8" t="s">
        <v>14</v>
      </c>
    </row>
    <row r="37" spans="2:6">
      <c r="B37" s="7">
        <v>19</v>
      </c>
      <c r="C37" s="77" t="s">
        <v>93</v>
      </c>
      <c r="D37" s="78"/>
      <c r="E37" s="78"/>
      <c r="F37" s="8" t="s">
        <v>14</v>
      </c>
    </row>
    <row r="38" spans="2:6" ht="122.1" customHeight="1">
      <c r="B38" s="7">
        <v>20</v>
      </c>
      <c r="C38" s="77" t="s">
        <v>26</v>
      </c>
      <c r="D38" s="78"/>
      <c r="E38" s="78"/>
      <c r="F38" s="8" t="s">
        <v>14</v>
      </c>
    </row>
    <row r="39" spans="2:6" ht="32.1" customHeight="1">
      <c r="B39" s="7">
        <v>21</v>
      </c>
      <c r="C39" s="77" t="s">
        <v>27</v>
      </c>
      <c r="D39" s="78"/>
      <c r="E39" s="78"/>
      <c r="F39" s="8" t="s">
        <v>14</v>
      </c>
    </row>
    <row r="40" spans="2:6" ht="28.35" customHeight="1">
      <c r="B40" s="7">
        <v>22</v>
      </c>
      <c r="C40" s="73" t="s">
        <v>28</v>
      </c>
      <c r="D40" s="74"/>
      <c r="E40" s="74"/>
      <c r="F40" s="8" t="s">
        <v>14</v>
      </c>
    </row>
    <row r="41" spans="2:6">
      <c r="B41" s="7">
        <v>23</v>
      </c>
      <c r="C41" s="73" t="s">
        <v>29</v>
      </c>
      <c r="D41" s="74"/>
      <c r="E41" s="74"/>
      <c r="F41" s="8" t="s">
        <v>44</v>
      </c>
    </row>
    <row r="42" spans="2:6" ht="36" customHeight="1">
      <c r="B42" s="7">
        <v>24</v>
      </c>
      <c r="C42" s="79" t="s">
        <v>30</v>
      </c>
      <c r="D42" s="80"/>
      <c r="E42" s="80"/>
      <c r="F42" s="8" t="s">
        <v>14</v>
      </c>
    </row>
    <row r="43" spans="2:6" ht="27.95" customHeight="1">
      <c r="B43" s="7">
        <v>25</v>
      </c>
      <c r="C43" s="73" t="s">
        <v>31</v>
      </c>
      <c r="D43" s="74"/>
      <c r="E43" s="74"/>
      <c r="F43" s="8" t="s">
        <v>14</v>
      </c>
    </row>
    <row r="44" spans="2:6" ht="45.6" customHeight="1" thickBot="1">
      <c r="B44" s="7">
        <v>26</v>
      </c>
      <c r="C44" s="75" t="s">
        <v>32</v>
      </c>
      <c r="D44" s="76"/>
      <c r="E44" s="76"/>
      <c r="F44" s="10" t="s">
        <v>14</v>
      </c>
    </row>
    <row r="45" spans="2:6" ht="15.75" thickBot="1">
      <c r="B45" s="44"/>
      <c r="C45" s="40" t="s">
        <v>3</v>
      </c>
      <c r="D45" s="26"/>
      <c r="E45" s="27"/>
      <c r="F45" s="26"/>
    </row>
    <row r="46" spans="2:6">
      <c r="B46" s="45"/>
      <c r="C46" s="41">
        <v>0</v>
      </c>
      <c r="D46" s="11"/>
      <c r="E46" s="12"/>
      <c r="F46" s="11"/>
    </row>
    <row r="47" spans="2:6" ht="15.75" thickBot="1">
      <c r="B47" s="45"/>
      <c r="C47" s="42">
        <f>C46*18%</f>
        <v>0</v>
      </c>
      <c r="D47" s="13"/>
      <c r="E47" s="14"/>
      <c r="F47" s="13"/>
    </row>
    <row r="48" spans="2:6" ht="15.75" thickBot="1">
      <c r="B48" s="46"/>
      <c r="C48" s="43">
        <f>C46+C47</f>
        <v>0</v>
      </c>
      <c r="D48" s="15"/>
      <c r="E48" s="16"/>
      <c r="F48" s="15"/>
    </row>
  </sheetData>
  <mergeCells count="44">
    <mergeCell ref="B2:F2"/>
    <mergeCell ref="B3:F3"/>
    <mergeCell ref="B4:C4"/>
    <mergeCell ref="D4:F4"/>
    <mergeCell ref="B5:C5"/>
    <mergeCell ref="D5:F5"/>
    <mergeCell ref="B6:F6"/>
    <mergeCell ref="B7:C7"/>
    <mergeCell ref="B8:C8"/>
    <mergeCell ref="B10:C10"/>
    <mergeCell ref="B11:C12"/>
    <mergeCell ref="D11:D12"/>
    <mergeCell ref="B13:C13"/>
    <mergeCell ref="B14:C14"/>
    <mergeCell ref="B15:F15"/>
    <mergeCell ref="B16:F16"/>
    <mergeCell ref="B17:F17"/>
    <mergeCell ref="C18:E18"/>
    <mergeCell ref="C19:E19"/>
    <mergeCell ref="C21:E21"/>
    <mergeCell ref="C22:E22"/>
    <mergeCell ref="C20:E20"/>
    <mergeCell ref="C28:E28"/>
    <mergeCell ref="C29:E29"/>
    <mergeCell ref="C30:E30"/>
    <mergeCell ref="C31:E31"/>
    <mergeCell ref="C23:E23"/>
    <mergeCell ref="C24:E24"/>
    <mergeCell ref="C25:E25"/>
    <mergeCell ref="C26:E26"/>
    <mergeCell ref="C27:E27"/>
    <mergeCell ref="C32:E32"/>
    <mergeCell ref="C33:E33"/>
    <mergeCell ref="C43:E43"/>
    <mergeCell ref="C44:E44"/>
    <mergeCell ref="C39:E39"/>
    <mergeCell ref="C40:E40"/>
    <mergeCell ref="C41:E41"/>
    <mergeCell ref="C42:E42"/>
    <mergeCell ref="C34:E34"/>
    <mergeCell ref="C35:E35"/>
    <mergeCell ref="C36:E36"/>
    <mergeCell ref="C37:E37"/>
    <mergeCell ref="C38:E3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E18" sqref="E18"/>
    </sheetView>
  </sheetViews>
  <sheetFormatPr defaultRowHeight="15"/>
  <cols>
    <col min="1" max="1" width="13.140625" bestFit="1" customWidth="1"/>
    <col min="2" max="2" width="16.28515625" bestFit="1" customWidth="1"/>
    <col min="3" max="3" width="11.28515625" bestFit="1" customWidth="1"/>
  </cols>
  <sheetData>
    <row r="1" spans="1:3">
      <c r="A1" s="35" t="s">
        <v>49</v>
      </c>
      <c r="B1" s="35" t="s">
        <v>48</v>
      </c>
    </row>
    <row r="2" spans="1:3">
      <c r="A2" s="35" t="s">
        <v>61</v>
      </c>
      <c r="B2" t="s">
        <v>773</v>
      </c>
      <c r="C2" t="s">
        <v>47</v>
      </c>
    </row>
    <row r="3" spans="1:3">
      <c r="A3" s="50" t="s">
        <v>74</v>
      </c>
      <c r="B3">
        <v>13</v>
      </c>
      <c r="C3">
        <v>13</v>
      </c>
    </row>
    <row r="4" spans="1:3">
      <c r="A4" s="50" t="s">
        <v>62</v>
      </c>
      <c r="B4">
        <v>35</v>
      </c>
      <c r="C4">
        <v>35</v>
      </c>
    </row>
    <row r="5" spans="1:3">
      <c r="A5" s="50" t="s">
        <v>63</v>
      </c>
      <c r="B5">
        <v>9</v>
      </c>
      <c r="C5">
        <v>9</v>
      </c>
    </row>
    <row r="6" spans="1:3">
      <c r="A6" s="50" t="s">
        <v>64</v>
      </c>
      <c r="B6">
        <v>34</v>
      </c>
      <c r="C6">
        <v>34</v>
      </c>
    </row>
    <row r="7" spans="1:3">
      <c r="A7" s="50" t="s">
        <v>65</v>
      </c>
      <c r="B7">
        <v>19</v>
      </c>
      <c r="C7">
        <v>19</v>
      </c>
    </row>
    <row r="8" spans="1:3">
      <c r="A8" s="50" t="s">
        <v>66</v>
      </c>
      <c r="B8">
        <v>16</v>
      </c>
      <c r="C8">
        <v>16</v>
      </c>
    </row>
    <row r="9" spans="1:3">
      <c r="A9" s="50" t="s">
        <v>67</v>
      </c>
      <c r="B9">
        <v>27</v>
      </c>
      <c r="C9">
        <v>27</v>
      </c>
    </row>
    <row r="10" spans="1:3">
      <c r="A10" s="50" t="s">
        <v>68</v>
      </c>
      <c r="B10">
        <v>23</v>
      </c>
      <c r="C10">
        <v>23</v>
      </c>
    </row>
    <row r="11" spans="1:3">
      <c r="A11" s="50" t="s">
        <v>69</v>
      </c>
      <c r="B11">
        <v>31</v>
      </c>
      <c r="C11">
        <v>31</v>
      </c>
    </row>
    <row r="12" spans="1:3">
      <c r="A12" s="50" t="s">
        <v>70</v>
      </c>
      <c r="B12">
        <v>22</v>
      </c>
      <c r="C12">
        <v>22</v>
      </c>
    </row>
    <row r="13" spans="1:3">
      <c r="A13" s="50" t="s">
        <v>71</v>
      </c>
      <c r="B13">
        <v>11</v>
      </c>
      <c r="C13">
        <v>11</v>
      </c>
    </row>
    <row r="14" spans="1:3">
      <c r="A14" s="50" t="s">
        <v>72</v>
      </c>
      <c r="B14">
        <v>11</v>
      </c>
      <c r="C14">
        <v>11</v>
      </c>
    </row>
    <row r="15" spans="1:3">
      <c r="A15" s="50" t="s">
        <v>73</v>
      </c>
      <c r="B15">
        <v>10</v>
      </c>
      <c r="C15">
        <v>10</v>
      </c>
    </row>
    <row r="16" spans="1:3">
      <c r="A16" s="50" t="s">
        <v>47</v>
      </c>
      <c r="B16">
        <v>261</v>
      </c>
      <c r="C16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2"/>
  <sheetViews>
    <sheetView workbookViewId="0">
      <selection activeCell="B5" sqref="B5"/>
    </sheetView>
  </sheetViews>
  <sheetFormatPr defaultRowHeight="15"/>
  <cols>
    <col min="1" max="1" width="23.85546875" bestFit="1" customWidth="1"/>
  </cols>
  <sheetData>
    <row r="1" spans="1:34">
      <c r="A1" s="57" t="s">
        <v>97</v>
      </c>
      <c r="B1" s="57" t="s">
        <v>98</v>
      </c>
      <c r="C1" s="57" t="s">
        <v>99</v>
      </c>
      <c r="D1" s="57" t="s">
        <v>100</v>
      </c>
      <c r="E1" s="57" t="s">
        <v>101</v>
      </c>
      <c r="F1" s="57" t="s">
        <v>102</v>
      </c>
      <c r="G1" s="57" t="s">
        <v>38</v>
      </c>
      <c r="H1" s="57" t="s">
        <v>103</v>
      </c>
      <c r="I1" s="57" t="s">
        <v>104</v>
      </c>
      <c r="J1" s="57" t="s">
        <v>105</v>
      </c>
      <c r="K1" s="57" t="s">
        <v>106</v>
      </c>
      <c r="L1" s="57" t="s">
        <v>107</v>
      </c>
      <c r="M1" s="57" t="s">
        <v>108</v>
      </c>
      <c r="N1" s="57" t="s">
        <v>109</v>
      </c>
      <c r="O1" s="57" t="s">
        <v>110</v>
      </c>
      <c r="P1" s="57" t="s">
        <v>111</v>
      </c>
      <c r="Q1" s="57" t="s">
        <v>112</v>
      </c>
      <c r="R1" s="57" t="s">
        <v>113</v>
      </c>
      <c r="S1" s="57" t="s">
        <v>114</v>
      </c>
      <c r="T1" s="57" t="s">
        <v>115</v>
      </c>
      <c r="U1" s="57" t="s">
        <v>116</v>
      </c>
      <c r="V1" s="57" t="s">
        <v>117</v>
      </c>
      <c r="W1" s="57" t="s">
        <v>118</v>
      </c>
      <c r="X1" s="57" t="s">
        <v>119</v>
      </c>
      <c r="Y1" s="57" t="s">
        <v>120</v>
      </c>
      <c r="Z1" s="57" t="s">
        <v>121</v>
      </c>
      <c r="AA1" s="57" t="s">
        <v>122</v>
      </c>
      <c r="AB1" s="57" t="s">
        <v>123</v>
      </c>
      <c r="AC1" s="57" t="s">
        <v>124</v>
      </c>
      <c r="AD1" s="57" t="s">
        <v>125</v>
      </c>
      <c r="AE1" s="57" t="s">
        <v>126</v>
      </c>
      <c r="AF1" s="57" t="s">
        <v>127</v>
      </c>
      <c r="AG1" s="57" t="s">
        <v>128</v>
      </c>
      <c r="AH1" s="57" t="s">
        <v>129</v>
      </c>
    </row>
    <row r="2" spans="1:34">
      <c r="A2" s="58" t="s">
        <v>130</v>
      </c>
      <c r="B2" s="58" t="s">
        <v>131</v>
      </c>
      <c r="C2" s="58" t="s">
        <v>132</v>
      </c>
      <c r="D2" s="58" t="s">
        <v>133</v>
      </c>
      <c r="E2" s="59" t="s">
        <v>134</v>
      </c>
      <c r="F2" s="58" t="s">
        <v>135</v>
      </c>
      <c r="G2" s="58" t="s">
        <v>136</v>
      </c>
      <c r="H2" s="58" t="s">
        <v>137</v>
      </c>
      <c r="I2" s="59">
        <v>41</v>
      </c>
      <c r="J2" s="58" t="s">
        <v>77</v>
      </c>
      <c r="K2" s="58">
        <v>109563</v>
      </c>
      <c r="L2" s="59" t="s">
        <v>138</v>
      </c>
      <c r="M2" s="59" t="s">
        <v>139</v>
      </c>
      <c r="N2" s="58">
        <v>81716</v>
      </c>
      <c r="O2" s="58" t="s">
        <v>140</v>
      </c>
      <c r="P2" s="58" t="s">
        <v>141</v>
      </c>
      <c r="Q2" s="58" t="s">
        <v>76</v>
      </c>
      <c r="R2" s="58" t="s">
        <v>90</v>
      </c>
      <c r="S2" s="58" t="s">
        <v>142</v>
      </c>
      <c r="T2" s="58" t="s">
        <v>142</v>
      </c>
      <c r="U2" s="58" t="s">
        <v>82</v>
      </c>
      <c r="V2" s="59" t="s">
        <v>143</v>
      </c>
      <c r="W2" s="59" t="s">
        <v>144</v>
      </c>
      <c r="X2" s="59" t="s">
        <v>145</v>
      </c>
      <c r="Y2" s="59" t="s">
        <v>146</v>
      </c>
      <c r="Z2" s="59">
        <v>27847</v>
      </c>
      <c r="AA2" s="60" t="s">
        <v>147</v>
      </c>
      <c r="AB2" s="59" t="s">
        <v>148</v>
      </c>
      <c r="AC2" s="59" t="s">
        <v>149</v>
      </c>
      <c r="AD2" s="60"/>
      <c r="AE2" s="60" t="s">
        <v>150</v>
      </c>
      <c r="AF2" s="60" t="s">
        <v>151</v>
      </c>
      <c r="AG2" s="60" t="s">
        <v>151</v>
      </c>
      <c r="AH2" s="59" t="s">
        <v>145</v>
      </c>
    </row>
    <row r="3" spans="1:34">
      <c r="A3" s="58" t="s">
        <v>130</v>
      </c>
      <c r="B3" s="58" t="s">
        <v>131</v>
      </c>
      <c r="C3" s="58" t="s">
        <v>132</v>
      </c>
      <c r="D3" s="58" t="s">
        <v>152</v>
      </c>
      <c r="E3" s="59" t="s">
        <v>134</v>
      </c>
      <c r="F3" s="58" t="s">
        <v>135</v>
      </c>
      <c r="G3" s="58" t="s">
        <v>136</v>
      </c>
      <c r="H3" s="58" t="s">
        <v>137</v>
      </c>
      <c r="I3" s="59">
        <v>41</v>
      </c>
      <c r="J3" s="58" t="s">
        <v>77</v>
      </c>
      <c r="K3" s="58">
        <v>53571</v>
      </c>
      <c r="L3" s="59" t="s">
        <v>153</v>
      </c>
      <c r="M3" s="59" t="s">
        <v>154</v>
      </c>
      <c r="N3" s="58">
        <v>51786</v>
      </c>
      <c r="O3" s="58" t="s">
        <v>155</v>
      </c>
      <c r="P3" s="58" t="s">
        <v>86</v>
      </c>
      <c r="Q3" s="58" t="s">
        <v>76</v>
      </c>
      <c r="R3" s="58" t="s">
        <v>156</v>
      </c>
      <c r="S3" s="58" t="s">
        <v>157</v>
      </c>
      <c r="T3" s="58" t="s">
        <v>157</v>
      </c>
      <c r="U3" s="58" t="s">
        <v>83</v>
      </c>
      <c r="V3" s="59" t="s">
        <v>158</v>
      </c>
      <c r="W3" s="59" t="s">
        <v>159</v>
      </c>
      <c r="X3" s="59" t="s">
        <v>144</v>
      </c>
      <c r="Y3" s="59" t="s">
        <v>144</v>
      </c>
      <c r="Z3" s="59">
        <v>1785</v>
      </c>
      <c r="AA3" s="60" t="s">
        <v>160</v>
      </c>
      <c r="AB3" s="59" t="s">
        <v>161</v>
      </c>
      <c r="AC3" s="59" t="s">
        <v>162</v>
      </c>
      <c r="AD3" s="60"/>
      <c r="AE3" s="60" t="s">
        <v>150</v>
      </c>
      <c r="AF3" s="60" t="s">
        <v>151</v>
      </c>
      <c r="AG3" s="60" t="s">
        <v>151</v>
      </c>
      <c r="AH3" s="59" t="s">
        <v>144</v>
      </c>
    </row>
    <row r="4" spans="1:34">
      <c r="A4" s="58" t="s">
        <v>130</v>
      </c>
      <c r="B4" s="58" t="s">
        <v>131</v>
      </c>
      <c r="C4" s="58" t="s">
        <v>132</v>
      </c>
      <c r="D4" s="58" t="s">
        <v>163</v>
      </c>
      <c r="E4" s="59" t="s">
        <v>134</v>
      </c>
      <c r="F4" s="58" t="s">
        <v>135</v>
      </c>
      <c r="G4" s="58" t="s">
        <v>136</v>
      </c>
      <c r="H4" s="58" t="s">
        <v>164</v>
      </c>
      <c r="I4" s="59">
        <v>46</v>
      </c>
      <c r="J4" s="58" t="s">
        <v>57</v>
      </c>
      <c r="K4" s="58">
        <v>25000</v>
      </c>
      <c r="L4" s="59" t="s">
        <v>138</v>
      </c>
      <c r="M4" s="59" t="s">
        <v>165</v>
      </c>
      <c r="N4" s="58">
        <v>25000</v>
      </c>
      <c r="O4" s="58" t="s">
        <v>166</v>
      </c>
      <c r="P4" s="58" t="s">
        <v>167</v>
      </c>
      <c r="Q4" s="58"/>
      <c r="R4" s="58" t="s">
        <v>168</v>
      </c>
      <c r="S4" s="58" t="s">
        <v>142</v>
      </c>
      <c r="T4" s="58" t="s">
        <v>169</v>
      </c>
      <c r="U4" s="58"/>
      <c r="V4" s="59" t="s">
        <v>170</v>
      </c>
      <c r="W4" s="59" t="s">
        <v>150</v>
      </c>
      <c r="X4" s="59" t="s">
        <v>150</v>
      </c>
      <c r="Y4" s="59" t="s">
        <v>150</v>
      </c>
      <c r="Z4" s="59"/>
      <c r="AA4" s="60"/>
      <c r="AB4" s="59" t="s">
        <v>150</v>
      </c>
      <c r="AC4" s="59"/>
      <c r="AD4" s="60" t="s">
        <v>171</v>
      </c>
      <c r="AE4" s="60" t="s">
        <v>150</v>
      </c>
      <c r="AF4" s="60" t="s">
        <v>172</v>
      </c>
      <c r="AG4" s="60" t="s">
        <v>173</v>
      </c>
      <c r="AH4" s="59" t="s">
        <v>170</v>
      </c>
    </row>
    <row r="5" spans="1:34">
      <c r="A5" s="58" t="s">
        <v>130</v>
      </c>
      <c r="B5" s="58" t="s">
        <v>131</v>
      </c>
      <c r="C5" s="58" t="s">
        <v>132</v>
      </c>
      <c r="D5" s="58" t="s">
        <v>174</v>
      </c>
      <c r="E5" s="59" t="s">
        <v>175</v>
      </c>
      <c r="F5" s="58" t="s">
        <v>176</v>
      </c>
      <c r="G5" s="58" t="s">
        <v>177</v>
      </c>
      <c r="H5" s="58" t="s">
        <v>178</v>
      </c>
      <c r="I5" s="59">
        <v>75</v>
      </c>
      <c r="J5" s="58" t="s">
        <v>179</v>
      </c>
      <c r="K5" s="58">
        <v>15234</v>
      </c>
      <c r="L5" s="59" t="s">
        <v>180</v>
      </c>
      <c r="M5" s="59" t="s">
        <v>181</v>
      </c>
      <c r="N5" s="58">
        <v>2805</v>
      </c>
      <c r="O5" s="58" t="s">
        <v>182</v>
      </c>
      <c r="P5" s="58" t="s">
        <v>79</v>
      </c>
      <c r="Q5" s="58" t="s">
        <v>80</v>
      </c>
      <c r="R5" s="58" t="s">
        <v>183</v>
      </c>
      <c r="S5" s="58" t="s">
        <v>157</v>
      </c>
      <c r="T5" s="58" t="s">
        <v>184</v>
      </c>
      <c r="U5" s="58" t="s">
        <v>185</v>
      </c>
      <c r="V5" s="59" t="s">
        <v>186</v>
      </c>
      <c r="W5" s="59" t="s">
        <v>187</v>
      </c>
      <c r="X5" s="59" t="s">
        <v>188</v>
      </c>
      <c r="Y5" s="59" t="s">
        <v>189</v>
      </c>
      <c r="Z5" s="59">
        <v>12429</v>
      </c>
      <c r="AA5" s="60" t="s">
        <v>190</v>
      </c>
      <c r="AB5" s="59" t="s">
        <v>161</v>
      </c>
      <c r="AC5" s="59" t="s">
        <v>191</v>
      </c>
      <c r="AD5" s="60"/>
      <c r="AE5" s="60" t="s">
        <v>150</v>
      </c>
      <c r="AF5" s="60" t="s">
        <v>151</v>
      </c>
      <c r="AG5" s="60" t="s">
        <v>151</v>
      </c>
      <c r="AH5" s="59" t="s">
        <v>188</v>
      </c>
    </row>
    <row r="6" spans="1:34">
      <c r="A6" s="58" t="s">
        <v>130</v>
      </c>
      <c r="B6" s="58" t="s">
        <v>131</v>
      </c>
      <c r="C6" s="58" t="s">
        <v>132</v>
      </c>
      <c r="D6" s="58" t="s">
        <v>192</v>
      </c>
      <c r="E6" s="59" t="s">
        <v>175</v>
      </c>
      <c r="F6" s="58" t="s">
        <v>176</v>
      </c>
      <c r="G6" s="58" t="s">
        <v>177</v>
      </c>
      <c r="H6" s="58" t="s">
        <v>177</v>
      </c>
      <c r="I6" s="59">
        <v>54</v>
      </c>
      <c r="J6" s="58" t="s">
        <v>57</v>
      </c>
      <c r="K6" s="58">
        <v>13005</v>
      </c>
      <c r="L6" s="59" t="s">
        <v>193</v>
      </c>
      <c r="M6" s="59" t="s">
        <v>193</v>
      </c>
      <c r="N6" s="58">
        <v>11265</v>
      </c>
      <c r="O6" s="58" t="s">
        <v>194</v>
      </c>
      <c r="P6" s="58" t="s">
        <v>141</v>
      </c>
      <c r="Q6" s="58" t="s">
        <v>195</v>
      </c>
      <c r="R6" s="58" t="s">
        <v>196</v>
      </c>
      <c r="S6" s="58" t="s">
        <v>142</v>
      </c>
      <c r="T6" s="58" t="s">
        <v>142</v>
      </c>
      <c r="U6" s="58" t="s">
        <v>89</v>
      </c>
      <c r="V6" s="59" t="s">
        <v>186</v>
      </c>
      <c r="W6" s="59" t="s">
        <v>197</v>
      </c>
      <c r="X6" s="59" t="s">
        <v>189</v>
      </c>
      <c r="Y6" s="59" t="s">
        <v>198</v>
      </c>
      <c r="Z6" s="59">
        <v>1740</v>
      </c>
      <c r="AA6" s="60" t="s">
        <v>199</v>
      </c>
      <c r="AB6" s="59" t="s">
        <v>200</v>
      </c>
      <c r="AC6" s="59" t="s">
        <v>201</v>
      </c>
      <c r="AD6" s="60"/>
      <c r="AE6" s="60" t="s">
        <v>150</v>
      </c>
      <c r="AF6" s="60" t="s">
        <v>151</v>
      </c>
      <c r="AG6" s="60" t="s">
        <v>151</v>
      </c>
      <c r="AH6" s="59" t="s">
        <v>189</v>
      </c>
    </row>
    <row r="7" spans="1:34">
      <c r="A7" s="58" t="s">
        <v>130</v>
      </c>
      <c r="B7" s="58" t="s">
        <v>131</v>
      </c>
      <c r="C7" s="58" t="s">
        <v>132</v>
      </c>
      <c r="D7" s="58" t="s">
        <v>192</v>
      </c>
      <c r="E7" s="59" t="s">
        <v>175</v>
      </c>
      <c r="F7" s="58" t="s">
        <v>176</v>
      </c>
      <c r="G7" s="58" t="s">
        <v>177</v>
      </c>
      <c r="H7" s="58" t="s">
        <v>177</v>
      </c>
      <c r="I7" s="59">
        <v>54</v>
      </c>
      <c r="J7" s="58" t="s">
        <v>57</v>
      </c>
      <c r="K7" s="58">
        <v>444</v>
      </c>
      <c r="L7" s="59" t="s">
        <v>193</v>
      </c>
      <c r="M7" s="59" t="s">
        <v>193</v>
      </c>
      <c r="N7" s="58">
        <v>444</v>
      </c>
      <c r="O7" s="58" t="s">
        <v>194</v>
      </c>
      <c r="P7" s="58" t="s">
        <v>141</v>
      </c>
      <c r="Q7" s="58" t="s">
        <v>195</v>
      </c>
      <c r="R7" s="58" t="s">
        <v>196</v>
      </c>
      <c r="S7" s="58" t="s">
        <v>142</v>
      </c>
      <c r="T7" s="58" t="s">
        <v>202</v>
      </c>
      <c r="U7" s="58" t="s">
        <v>89</v>
      </c>
      <c r="V7" s="59" t="s">
        <v>200</v>
      </c>
      <c r="W7" s="59" t="s">
        <v>150</v>
      </c>
      <c r="X7" s="59" t="s">
        <v>150</v>
      </c>
      <c r="Y7" s="59" t="s">
        <v>200</v>
      </c>
      <c r="Z7" s="59">
        <v>0</v>
      </c>
      <c r="AA7" s="60" t="s">
        <v>150</v>
      </c>
      <c r="AB7" s="59" t="s">
        <v>203</v>
      </c>
      <c r="AC7" s="59" t="s">
        <v>204</v>
      </c>
      <c r="AD7" s="60"/>
      <c r="AE7" s="60" t="s">
        <v>150</v>
      </c>
      <c r="AF7" s="60" t="s">
        <v>151</v>
      </c>
      <c r="AG7" s="60" t="s">
        <v>151</v>
      </c>
      <c r="AH7" s="59" t="s">
        <v>200</v>
      </c>
    </row>
    <row r="8" spans="1:34">
      <c r="A8" s="58" t="s">
        <v>130</v>
      </c>
      <c r="B8" s="58" t="s">
        <v>131</v>
      </c>
      <c r="C8" s="58" t="s">
        <v>132</v>
      </c>
      <c r="D8" s="58" t="s">
        <v>174</v>
      </c>
      <c r="E8" s="59" t="s">
        <v>175</v>
      </c>
      <c r="F8" s="58" t="s">
        <v>176</v>
      </c>
      <c r="G8" s="58" t="s">
        <v>177</v>
      </c>
      <c r="H8" s="58" t="s">
        <v>178</v>
      </c>
      <c r="I8" s="59">
        <v>75</v>
      </c>
      <c r="J8" s="58" t="s">
        <v>179</v>
      </c>
      <c r="K8" s="58">
        <v>41668</v>
      </c>
      <c r="L8" s="59" t="s">
        <v>180</v>
      </c>
      <c r="M8" s="59" t="s">
        <v>181</v>
      </c>
      <c r="N8" s="58">
        <v>29263</v>
      </c>
      <c r="O8" s="58" t="s">
        <v>182</v>
      </c>
      <c r="P8" s="58" t="s">
        <v>79</v>
      </c>
      <c r="Q8" s="58" t="s">
        <v>80</v>
      </c>
      <c r="R8" s="58" t="s">
        <v>183</v>
      </c>
      <c r="S8" s="58" t="s">
        <v>157</v>
      </c>
      <c r="T8" s="58" t="s">
        <v>157</v>
      </c>
      <c r="U8" s="58" t="s">
        <v>185</v>
      </c>
      <c r="V8" s="59" t="s">
        <v>205</v>
      </c>
      <c r="W8" s="59" t="s">
        <v>150</v>
      </c>
      <c r="X8" s="59" t="s">
        <v>150</v>
      </c>
      <c r="Y8" s="59" t="s">
        <v>206</v>
      </c>
      <c r="Z8" s="59">
        <v>9667</v>
      </c>
      <c r="AA8" s="60" t="s">
        <v>207</v>
      </c>
      <c r="AB8" s="59" t="s">
        <v>150</v>
      </c>
      <c r="AC8" s="59"/>
      <c r="AD8" s="60"/>
      <c r="AE8" s="60" t="s">
        <v>150</v>
      </c>
      <c r="AF8" s="60" t="s">
        <v>208</v>
      </c>
      <c r="AG8" s="60" t="s">
        <v>209</v>
      </c>
      <c r="AH8" s="59" t="s">
        <v>205</v>
      </c>
    </row>
    <row r="9" spans="1:34">
      <c r="A9" s="58" t="s">
        <v>130</v>
      </c>
      <c r="B9" s="58" t="s">
        <v>131</v>
      </c>
      <c r="C9" s="58" t="s">
        <v>132</v>
      </c>
      <c r="D9" s="58" t="s">
        <v>192</v>
      </c>
      <c r="E9" s="59" t="s">
        <v>175</v>
      </c>
      <c r="F9" s="58" t="s">
        <v>176</v>
      </c>
      <c r="G9" s="58" t="s">
        <v>177</v>
      </c>
      <c r="H9" s="58" t="s">
        <v>177</v>
      </c>
      <c r="I9" s="59">
        <v>54</v>
      </c>
      <c r="J9" s="58" t="s">
        <v>57</v>
      </c>
      <c r="K9" s="58">
        <v>4441</v>
      </c>
      <c r="L9" s="59" t="s">
        <v>193</v>
      </c>
      <c r="M9" s="59" t="s">
        <v>193</v>
      </c>
      <c r="N9" s="58">
        <v>3997</v>
      </c>
      <c r="O9" s="58" t="s">
        <v>194</v>
      </c>
      <c r="P9" s="58" t="s">
        <v>141</v>
      </c>
      <c r="Q9" s="58" t="s">
        <v>195</v>
      </c>
      <c r="R9" s="58" t="s">
        <v>196</v>
      </c>
      <c r="S9" s="58" t="s">
        <v>142</v>
      </c>
      <c r="T9" s="58" t="s">
        <v>184</v>
      </c>
      <c r="U9" s="58" t="s">
        <v>89</v>
      </c>
      <c r="V9" s="59" t="s">
        <v>210</v>
      </c>
      <c r="W9" s="59" t="s">
        <v>150</v>
      </c>
      <c r="X9" s="59" t="s">
        <v>150</v>
      </c>
      <c r="Y9" s="59" t="s">
        <v>211</v>
      </c>
      <c r="Z9" s="59">
        <v>444</v>
      </c>
      <c r="AA9" s="60" t="s">
        <v>212</v>
      </c>
      <c r="AB9" s="59" t="s">
        <v>213</v>
      </c>
      <c r="AC9" s="59" t="s">
        <v>214</v>
      </c>
      <c r="AD9" s="60"/>
      <c r="AE9" s="60" t="s">
        <v>150</v>
      </c>
      <c r="AF9" s="60" t="s">
        <v>151</v>
      </c>
      <c r="AG9" s="60" t="s">
        <v>151</v>
      </c>
      <c r="AH9" s="59" t="s">
        <v>210</v>
      </c>
    </row>
    <row r="10" spans="1:34">
      <c r="A10" s="58" t="s">
        <v>130</v>
      </c>
      <c r="B10" s="58" t="s">
        <v>131</v>
      </c>
      <c r="C10" s="58" t="s">
        <v>132</v>
      </c>
      <c r="D10" s="58" t="s">
        <v>215</v>
      </c>
      <c r="E10" s="59" t="s">
        <v>216</v>
      </c>
      <c r="F10" s="58" t="s">
        <v>217</v>
      </c>
      <c r="G10" s="58" t="s">
        <v>218</v>
      </c>
      <c r="H10" s="58" t="s">
        <v>219</v>
      </c>
      <c r="I10" s="59">
        <v>48</v>
      </c>
      <c r="J10" s="58" t="s">
        <v>77</v>
      </c>
      <c r="K10" s="58">
        <v>84980</v>
      </c>
      <c r="L10" s="59" t="s">
        <v>220</v>
      </c>
      <c r="M10" s="59" t="s">
        <v>220</v>
      </c>
      <c r="N10" s="58">
        <v>71513</v>
      </c>
      <c r="O10" s="58" t="s">
        <v>221</v>
      </c>
      <c r="P10" s="58" t="s">
        <v>222</v>
      </c>
      <c r="Q10" s="58" t="s">
        <v>76</v>
      </c>
      <c r="R10" s="58" t="s">
        <v>223</v>
      </c>
      <c r="S10" s="58" t="s">
        <v>157</v>
      </c>
      <c r="T10" s="58" t="s">
        <v>157</v>
      </c>
      <c r="U10" s="58" t="s">
        <v>224</v>
      </c>
      <c r="V10" s="59" t="s">
        <v>225</v>
      </c>
      <c r="W10" s="59" t="s">
        <v>150</v>
      </c>
      <c r="X10" s="59" t="s">
        <v>150</v>
      </c>
      <c r="Y10" s="59" t="s">
        <v>226</v>
      </c>
      <c r="Z10" s="59">
        <v>2420</v>
      </c>
      <c r="AA10" s="60" t="s">
        <v>227</v>
      </c>
      <c r="AB10" s="59" t="s">
        <v>150</v>
      </c>
      <c r="AC10" s="59"/>
      <c r="AD10" s="60"/>
      <c r="AE10" s="60" t="s">
        <v>150</v>
      </c>
      <c r="AF10" s="60" t="s">
        <v>208</v>
      </c>
      <c r="AG10" s="60" t="s">
        <v>209</v>
      </c>
      <c r="AH10" s="59" t="s">
        <v>225</v>
      </c>
    </row>
    <row r="11" spans="1:34">
      <c r="A11" s="58" t="s">
        <v>130</v>
      </c>
      <c r="B11" s="58" t="s">
        <v>131</v>
      </c>
      <c r="C11" s="58" t="s">
        <v>132</v>
      </c>
      <c r="D11" s="58" t="s">
        <v>228</v>
      </c>
      <c r="E11" s="59" t="s">
        <v>216</v>
      </c>
      <c r="F11" s="58" t="s">
        <v>217</v>
      </c>
      <c r="G11" s="58" t="s">
        <v>218</v>
      </c>
      <c r="H11" s="58" t="s">
        <v>219</v>
      </c>
      <c r="I11" s="59">
        <v>48</v>
      </c>
      <c r="J11" s="58" t="s">
        <v>77</v>
      </c>
      <c r="K11" s="58">
        <v>55126</v>
      </c>
      <c r="L11" s="59" t="s">
        <v>229</v>
      </c>
      <c r="M11" s="59" t="s">
        <v>229</v>
      </c>
      <c r="N11" s="58">
        <v>46788</v>
      </c>
      <c r="O11" s="58" t="s">
        <v>221</v>
      </c>
      <c r="P11" s="58" t="s">
        <v>222</v>
      </c>
      <c r="Q11" s="58" t="s">
        <v>76</v>
      </c>
      <c r="R11" s="58" t="s">
        <v>223</v>
      </c>
      <c r="S11" s="58" t="s">
        <v>157</v>
      </c>
      <c r="T11" s="58" t="s">
        <v>157</v>
      </c>
      <c r="U11" s="58" t="s">
        <v>224</v>
      </c>
      <c r="V11" s="59" t="s">
        <v>230</v>
      </c>
      <c r="W11" s="59" t="s">
        <v>226</v>
      </c>
      <c r="X11" s="59" t="s">
        <v>231</v>
      </c>
      <c r="Y11" s="59" t="s">
        <v>232</v>
      </c>
      <c r="Z11" s="59">
        <v>1172</v>
      </c>
      <c r="AA11" s="60" t="s">
        <v>233</v>
      </c>
      <c r="AB11" s="59" t="s">
        <v>150</v>
      </c>
      <c r="AC11" s="59"/>
      <c r="AD11" s="60"/>
      <c r="AE11" s="60" t="s">
        <v>150</v>
      </c>
      <c r="AF11" s="60" t="s">
        <v>208</v>
      </c>
      <c r="AG11" s="60" t="s">
        <v>209</v>
      </c>
      <c r="AH11" s="59" t="s">
        <v>231</v>
      </c>
    </row>
    <row r="12" spans="1:34">
      <c r="A12" s="58" t="s">
        <v>130</v>
      </c>
      <c r="B12" s="58" t="s">
        <v>131</v>
      </c>
      <c r="C12" s="58" t="s">
        <v>132</v>
      </c>
      <c r="D12" s="58" t="s">
        <v>234</v>
      </c>
      <c r="E12" s="59" t="s">
        <v>216</v>
      </c>
      <c r="F12" s="58" t="s">
        <v>217</v>
      </c>
      <c r="G12" s="58" t="s">
        <v>218</v>
      </c>
      <c r="H12" s="58" t="s">
        <v>219</v>
      </c>
      <c r="I12" s="59">
        <v>48</v>
      </c>
      <c r="J12" s="58" t="s">
        <v>77</v>
      </c>
      <c r="K12" s="58">
        <v>252925</v>
      </c>
      <c r="L12" s="59" t="s">
        <v>213</v>
      </c>
      <c r="M12" s="59" t="s">
        <v>235</v>
      </c>
      <c r="N12" s="58">
        <v>163544</v>
      </c>
      <c r="O12" s="58" t="s">
        <v>221</v>
      </c>
      <c r="P12" s="58" t="s">
        <v>222</v>
      </c>
      <c r="Q12" s="58" t="s">
        <v>76</v>
      </c>
      <c r="R12" s="58" t="s">
        <v>223</v>
      </c>
      <c r="S12" s="58" t="s">
        <v>157</v>
      </c>
      <c r="T12" s="58" t="s">
        <v>157</v>
      </c>
      <c r="U12" s="58" t="s">
        <v>224</v>
      </c>
      <c r="V12" s="59" t="s">
        <v>236</v>
      </c>
      <c r="W12" s="59" t="s">
        <v>150</v>
      </c>
      <c r="X12" s="59" t="s">
        <v>150</v>
      </c>
      <c r="Y12" s="59" t="s">
        <v>237</v>
      </c>
      <c r="Z12" s="59">
        <v>56501</v>
      </c>
      <c r="AA12" s="60" t="s">
        <v>238</v>
      </c>
      <c r="AB12" s="59" t="s">
        <v>239</v>
      </c>
      <c r="AC12" s="59" t="s">
        <v>240</v>
      </c>
      <c r="AD12" s="60"/>
      <c r="AE12" s="60" t="s">
        <v>150</v>
      </c>
      <c r="AF12" s="60" t="s">
        <v>151</v>
      </c>
      <c r="AG12" s="60" t="s">
        <v>151</v>
      </c>
      <c r="AH12" s="59" t="s">
        <v>236</v>
      </c>
    </row>
    <row r="13" spans="1:34">
      <c r="A13" s="58" t="s">
        <v>130</v>
      </c>
      <c r="B13" s="58" t="s">
        <v>131</v>
      </c>
      <c r="C13" s="58" t="s">
        <v>132</v>
      </c>
      <c r="D13" s="58" t="s">
        <v>234</v>
      </c>
      <c r="E13" s="59" t="s">
        <v>216</v>
      </c>
      <c r="F13" s="58" t="s">
        <v>217</v>
      </c>
      <c r="G13" s="58" t="s">
        <v>218</v>
      </c>
      <c r="H13" s="58" t="s">
        <v>219</v>
      </c>
      <c r="I13" s="59">
        <v>48</v>
      </c>
      <c r="J13" s="58" t="s">
        <v>77</v>
      </c>
      <c r="K13" s="58">
        <v>94960</v>
      </c>
      <c r="L13" s="59" t="s">
        <v>213</v>
      </c>
      <c r="M13" s="59" t="s">
        <v>235</v>
      </c>
      <c r="N13" s="58">
        <v>94960</v>
      </c>
      <c r="O13" s="58" t="s">
        <v>221</v>
      </c>
      <c r="P13" s="58" t="s">
        <v>222</v>
      </c>
      <c r="Q13" s="58" t="s">
        <v>76</v>
      </c>
      <c r="R13" s="58" t="s">
        <v>223</v>
      </c>
      <c r="S13" s="58" t="s">
        <v>157</v>
      </c>
      <c r="T13" s="58" t="s">
        <v>202</v>
      </c>
      <c r="U13" s="58" t="s">
        <v>224</v>
      </c>
      <c r="V13" s="59" t="s">
        <v>241</v>
      </c>
      <c r="W13" s="59" t="s">
        <v>242</v>
      </c>
      <c r="X13" s="59" t="s">
        <v>150</v>
      </c>
      <c r="Y13" s="59" t="s">
        <v>150</v>
      </c>
      <c r="Z13" s="59"/>
      <c r="AA13" s="60"/>
      <c r="AB13" s="59" t="s">
        <v>150</v>
      </c>
      <c r="AC13" s="59"/>
      <c r="AD13" s="60"/>
      <c r="AE13" s="60" t="s">
        <v>243</v>
      </c>
      <c r="AF13" s="60" t="s">
        <v>208</v>
      </c>
      <c r="AG13" s="60" t="s">
        <v>244</v>
      </c>
      <c r="AH13" s="59" t="s">
        <v>241</v>
      </c>
    </row>
    <row r="14" spans="1:34">
      <c r="A14" s="58" t="s">
        <v>130</v>
      </c>
      <c r="B14" s="58" t="s">
        <v>131</v>
      </c>
      <c r="C14" s="58" t="s">
        <v>132</v>
      </c>
      <c r="D14" s="58" t="s">
        <v>234</v>
      </c>
      <c r="E14" s="59" t="s">
        <v>216</v>
      </c>
      <c r="F14" s="58" t="s">
        <v>217</v>
      </c>
      <c r="G14" s="58" t="s">
        <v>218</v>
      </c>
      <c r="H14" s="58" t="s">
        <v>219</v>
      </c>
      <c r="I14" s="59">
        <v>48</v>
      </c>
      <c r="J14" s="58" t="s">
        <v>77</v>
      </c>
      <c r="K14" s="58">
        <v>148799</v>
      </c>
      <c r="L14" s="59" t="s">
        <v>213</v>
      </c>
      <c r="M14" s="59" t="s">
        <v>235</v>
      </c>
      <c r="N14" s="58">
        <v>53839</v>
      </c>
      <c r="O14" s="58" t="s">
        <v>221</v>
      </c>
      <c r="P14" s="58" t="s">
        <v>222</v>
      </c>
      <c r="Q14" s="58" t="s">
        <v>76</v>
      </c>
      <c r="R14" s="58" t="s">
        <v>223</v>
      </c>
      <c r="S14" s="58" t="s">
        <v>157</v>
      </c>
      <c r="T14" s="58" t="s">
        <v>184</v>
      </c>
      <c r="U14" s="58" t="s">
        <v>224</v>
      </c>
      <c r="V14" s="59" t="s">
        <v>245</v>
      </c>
      <c r="W14" s="59" t="s">
        <v>150</v>
      </c>
      <c r="X14" s="59" t="s">
        <v>150</v>
      </c>
      <c r="Y14" s="59" t="s">
        <v>246</v>
      </c>
      <c r="Z14" s="59">
        <v>94960</v>
      </c>
      <c r="AA14" s="60" t="s">
        <v>247</v>
      </c>
      <c r="AB14" s="59" t="s">
        <v>248</v>
      </c>
      <c r="AC14" s="59" t="s">
        <v>249</v>
      </c>
      <c r="AD14" s="60"/>
      <c r="AE14" s="60" t="s">
        <v>150</v>
      </c>
      <c r="AF14" s="60" t="s">
        <v>151</v>
      </c>
      <c r="AG14" s="60" t="s">
        <v>151</v>
      </c>
      <c r="AH14" s="59" t="s">
        <v>245</v>
      </c>
    </row>
    <row r="15" spans="1:34">
      <c r="A15" s="58" t="s">
        <v>130</v>
      </c>
      <c r="B15" s="58" t="s">
        <v>131</v>
      </c>
      <c r="C15" s="58" t="s">
        <v>132</v>
      </c>
      <c r="D15" s="58" t="s">
        <v>250</v>
      </c>
      <c r="E15" s="59" t="s">
        <v>216</v>
      </c>
      <c r="F15" s="58" t="s">
        <v>217</v>
      </c>
      <c r="G15" s="58" t="s">
        <v>218</v>
      </c>
      <c r="H15" s="58" t="s">
        <v>219</v>
      </c>
      <c r="I15" s="59">
        <v>48</v>
      </c>
      <c r="J15" s="58" t="s">
        <v>77</v>
      </c>
      <c r="K15" s="58">
        <v>62716</v>
      </c>
      <c r="L15" s="59" t="s">
        <v>251</v>
      </c>
      <c r="M15" s="59" t="s">
        <v>251</v>
      </c>
      <c r="N15" s="58">
        <v>54373</v>
      </c>
      <c r="O15" s="58" t="s">
        <v>221</v>
      </c>
      <c r="P15" s="58" t="s">
        <v>222</v>
      </c>
      <c r="Q15" s="58" t="s">
        <v>76</v>
      </c>
      <c r="R15" s="58" t="s">
        <v>223</v>
      </c>
      <c r="S15" s="58" t="s">
        <v>157</v>
      </c>
      <c r="T15" s="58" t="s">
        <v>157</v>
      </c>
      <c r="U15" s="58" t="s">
        <v>224</v>
      </c>
      <c r="V15" s="59" t="s">
        <v>252</v>
      </c>
      <c r="W15" s="59" t="s">
        <v>150</v>
      </c>
      <c r="X15" s="59" t="s">
        <v>150</v>
      </c>
      <c r="Y15" s="59" t="s">
        <v>253</v>
      </c>
      <c r="Z15" s="59">
        <v>190</v>
      </c>
      <c r="AA15" s="60" t="s">
        <v>254</v>
      </c>
      <c r="AB15" s="59" t="s">
        <v>255</v>
      </c>
      <c r="AC15" s="59" t="s">
        <v>256</v>
      </c>
      <c r="AD15" s="60"/>
      <c r="AE15" s="60" t="s">
        <v>150</v>
      </c>
      <c r="AF15" s="60" t="s">
        <v>151</v>
      </c>
      <c r="AG15" s="60" t="s">
        <v>151</v>
      </c>
      <c r="AH15" s="59" t="s">
        <v>252</v>
      </c>
    </row>
    <row r="16" spans="1:34">
      <c r="A16" s="58" t="s">
        <v>130</v>
      </c>
      <c r="B16" s="58" t="s">
        <v>131</v>
      </c>
      <c r="C16" s="58" t="s">
        <v>132</v>
      </c>
      <c r="D16" s="58" t="s">
        <v>257</v>
      </c>
      <c r="E16" s="59" t="s">
        <v>258</v>
      </c>
      <c r="F16" s="58" t="s">
        <v>259</v>
      </c>
      <c r="G16" s="58" t="s">
        <v>260</v>
      </c>
      <c r="H16" s="58" t="s">
        <v>261</v>
      </c>
      <c r="I16" s="59">
        <v>24</v>
      </c>
      <c r="J16" s="58" t="s">
        <v>53</v>
      </c>
      <c r="K16" s="58">
        <v>50268</v>
      </c>
      <c r="L16" s="59" t="s">
        <v>262</v>
      </c>
      <c r="M16" s="59" t="s">
        <v>263</v>
      </c>
      <c r="N16" s="58">
        <v>50268</v>
      </c>
      <c r="O16" s="58" t="s">
        <v>264</v>
      </c>
      <c r="P16" s="58" t="s">
        <v>86</v>
      </c>
      <c r="Q16" s="58" t="s">
        <v>76</v>
      </c>
      <c r="R16" s="58" t="s">
        <v>265</v>
      </c>
      <c r="S16" s="58" t="s">
        <v>157</v>
      </c>
      <c r="T16" s="58" t="s">
        <v>157</v>
      </c>
      <c r="U16" s="58" t="s">
        <v>266</v>
      </c>
      <c r="V16" s="59" t="s">
        <v>267</v>
      </c>
      <c r="W16" s="59" t="s">
        <v>268</v>
      </c>
      <c r="X16" s="59" t="s">
        <v>170</v>
      </c>
      <c r="Y16" s="59" t="s">
        <v>170</v>
      </c>
      <c r="Z16" s="59">
        <v>0</v>
      </c>
      <c r="AA16" s="60" t="s">
        <v>150</v>
      </c>
      <c r="AB16" s="59" t="s">
        <v>139</v>
      </c>
      <c r="AC16" s="59" t="s">
        <v>269</v>
      </c>
      <c r="AD16" s="60"/>
      <c r="AE16" s="60" t="s">
        <v>150</v>
      </c>
      <c r="AF16" s="60" t="s">
        <v>151</v>
      </c>
      <c r="AG16" s="60" t="s">
        <v>151</v>
      </c>
      <c r="AH16" s="59" t="s">
        <v>170</v>
      </c>
    </row>
    <row r="17" spans="1:34">
      <c r="A17" s="58" t="s">
        <v>130</v>
      </c>
      <c r="B17" s="58" t="s">
        <v>131</v>
      </c>
      <c r="C17" s="58" t="s">
        <v>132</v>
      </c>
      <c r="D17" s="58" t="s">
        <v>270</v>
      </c>
      <c r="E17" s="59" t="s">
        <v>271</v>
      </c>
      <c r="F17" s="58" t="s">
        <v>272</v>
      </c>
      <c r="G17" s="58" t="s">
        <v>273</v>
      </c>
      <c r="H17" s="58" t="s">
        <v>274</v>
      </c>
      <c r="I17" s="59">
        <v>58</v>
      </c>
      <c r="J17" s="58" t="s">
        <v>275</v>
      </c>
      <c r="K17" s="58">
        <v>42590</v>
      </c>
      <c r="L17" s="59" t="s">
        <v>276</v>
      </c>
      <c r="M17" s="59" t="s">
        <v>277</v>
      </c>
      <c r="N17" s="58">
        <v>40770</v>
      </c>
      <c r="O17" s="58" t="s">
        <v>278</v>
      </c>
      <c r="P17" s="58" t="s">
        <v>86</v>
      </c>
      <c r="Q17" s="58" t="s">
        <v>76</v>
      </c>
      <c r="R17" s="58" t="s">
        <v>279</v>
      </c>
      <c r="S17" s="58" t="s">
        <v>157</v>
      </c>
      <c r="T17" s="58" t="s">
        <v>157</v>
      </c>
      <c r="U17" s="58" t="s">
        <v>280</v>
      </c>
      <c r="V17" s="59" t="s">
        <v>281</v>
      </c>
      <c r="W17" s="59" t="s">
        <v>150</v>
      </c>
      <c r="X17" s="59" t="s">
        <v>150</v>
      </c>
      <c r="Y17" s="59" t="s">
        <v>282</v>
      </c>
      <c r="Z17" s="59">
        <v>1820</v>
      </c>
      <c r="AA17" s="60" t="s">
        <v>283</v>
      </c>
      <c r="AB17" s="59" t="s">
        <v>284</v>
      </c>
      <c r="AC17" s="59" t="s">
        <v>285</v>
      </c>
      <c r="AD17" s="60"/>
      <c r="AE17" s="60" t="s">
        <v>150</v>
      </c>
      <c r="AF17" s="60" t="s">
        <v>151</v>
      </c>
      <c r="AG17" s="60" t="s">
        <v>151</v>
      </c>
      <c r="AH17" s="59" t="s">
        <v>281</v>
      </c>
    </row>
    <row r="18" spans="1:34">
      <c r="A18" s="58" t="s">
        <v>130</v>
      </c>
      <c r="B18" s="58" t="s">
        <v>131</v>
      </c>
      <c r="C18" s="58" t="s">
        <v>132</v>
      </c>
      <c r="D18" s="58" t="s">
        <v>286</v>
      </c>
      <c r="E18" s="59" t="s">
        <v>287</v>
      </c>
      <c r="F18" s="58" t="s">
        <v>288</v>
      </c>
      <c r="G18" s="58" t="s">
        <v>289</v>
      </c>
      <c r="H18" s="58" t="s">
        <v>290</v>
      </c>
      <c r="I18" s="59">
        <v>57</v>
      </c>
      <c r="J18" s="58" t="s">
        <v>179</v>
      </c>
      <c r="K18" s="58">
        <v>114935</v>
      </c>
      <c r="L18" s="59" t="s">
        <v>291</v>
      </c>
      <c r="M18" s="59" t="s">
        <v>284</v>
      </c>
      <c r="N18" s="58">
        <v>76966</v>
      </c>
      <c r="O18" s="58" t="s">
        <v>292</v>
      </c>
      <c r="P18" s="58" t="s">
        <v>86</v>
      </c>
      <c r="Q18" s="58" t="s">
        <v>76</v>
      </c>
      <c r="R18" s="58" t="s">
        <v>293</v>
      </c>
      <c r="S18" s="58" t="s">
        <v>157</v>
      </c>
      <c r="T18" s="58" t="s">
        <v>157</v>
      </c>
      <c r="U18" s="58" t="s">
        <v>294</v>
      </c>
      <c r="V18" s="59" t="s">
        <v>295</v>
      </c>
      <c r="W18" s="59" t="s">
        <v>296</v>
      </c>
      <c r="X18" s="59" t="s">
        <v>144</v>
      </c>
      <c r="Y18" s="59" t="s">
        <v>144</v>
      </c>
      <c r="Z18" s="59">
        <v>37969</v>
      </c>
      <c r="AA18" s="60" t="s">
        <v>297</v>
      </c>
      <c r="AB18" s="59" t="s">
        <v>298</v>
      </c>
      <c r="AC18" s="59" t="s">
        <v>299</v>
      </c>
      <c r="AD18" s="60"/>
      <c r="AE18" s="60" t="s">
        <v>150</v>
      </c>
      <c r="AF18" s="60" t="s">
        <v>151</v>
      </c>
      <c r="AG18" s="60" t="s">
        <v>151</v>
      </c>
      <c r="AH18" s="59" t="s">
        <v>144</v>
      </c>
    </row>
    <row r="19" spans="1:34">
      <c r="A19" s="58" t="s">
        <v>130</v>
      </c>
      <c r="B19" s="58" t="s">
        <v>131</v>
      </c>
      <c r="C19" s="58" t="s">
        <v>132</v>
      </c>
      <c r="D19" s="58" t="s">
        <v>300</v>
      </c>
      <c r="E19" s="59" t="s">
        <v>301</v>
      </c>
      <c r="F19" s="58" t="s">
        <v>302</v>
      </c>
      <c r="G19" s="58" t="s">
        <v>303</v>
      </c>
      <c r="H19" s="58" t="s">
        <v>304</v>
      </c>
      <c r="I19" s="59">
        <v>72</v>
      </c>
      <c r="J19" s="58" t="s">
        <v>275</v>
      </c>
      <c r="K19" s="58">
        <v>38544</v>
      </c>
      <c r="L19" s="59" t="s">
        <v>305</v>
      </c>
      <c r="M19" s="59" t="s">
        <v>232</v>
      </c>
      <c r="N19" s="58">
        <v>33106</v>
      </c>
      <c r="O19" s="58" t="s">
        <v>306</v>
      </c>
      <c r="P19" s="58" t="s">
        <v>307</v>
      </c>
      <c r="Q19" s="58" t="s">
        <v>76</v>
      </c>
      <c r="R19" s="58" t="s">
        <v>308</v>
      </c>
      <c r="S19" s="58" t="s">
        <v>157</v>
      </c>
      <c r="T19" s="58" t="s">
        <v>157</v>
      </c>
      <c r="U19" s="58" t="s">
        <v>85</v>
      </c>
      <c r="V19" s="59" t="s">
        <v>309</v>
      </c>
      <c r="W19" s="59" t="s">
        <v>310</v>
      </c>
      <c r="X19" s="59" t="s">
        <v>150</v>
      </c>
      <c r="Y19" s="59" t="s">
        <v>150</v>
      </c>
      <c r="Z19" s="59"/>
      <c r="AA19" s="60"/>
      <c r="AB19" s="59" t="s">
        <v>150</v>
      </c>
      <c r="AC19" s="59"/>
      <c r="AD19" s="60"/>
      <c r="AE19" s="60" t="s">
        <v>150</v>
      </c>
      <c r="AF19" s="60" t="s">
        <v>208</v>
      </c>
      <c r="AG19" s="60" t="s">
        <v>209</v>
      </c>
      <c r="AH19" s="59" t="s">
        <v>309</v>
      </c>
    </row>
    <row r="20" spans="1:34">
      <c r="A20" s="58" t="s">
        <v>130</v>
      </c>
      <c r="B20" s="58" t="s">
        <v>131</v>
      </c>
      <c r="C20" s="58" t="s">
        <v>132</v>
      </c>
      <c r="D20" s="58" t="s">
        <v>311</v>
      </c>
      <c r="E20" s="59" t="s">
        <v>312</v>
      </c>
      <c r="F20" s="58" t="s">
        <v>313</v>
      </c>
      <c r="G20" s="58" t="s">
        <v>314</v>
      </c>
      <c r="H20" s="58" t="s">
        <v>315</v>
      </c>
      <c r="I20" s="59">
        <v>58</v>
      </c>
      <c r="J20" s="58" t="s">
        <v>179</v>
      </c>
      <c r="K20" s="58">
        <v>38627</v>
      </c>
      <c r="L20" s="59" t="s">
        <v>316</v>
      </c>
      <c r="M20" s="59" t="s">
        <v>317</v>
      </c>
      <c r="N20" s="58">
        <v>28616</v>
      </c>
      <c r="O20" s="58" t="s">
        <v>318</v>
      </c>
      <c r="P20" s="58" t="s">
        <v>86</v>
      </c>
      <c r="Q20" s="58" t="s">
        <v>76</v>
      </c>
      <c r="R20" s="58" t="s">
        <v>319</v>
      </c>
      <c r="S20" s="58" t="s">
        <v>157</v>
      </c>
      <c r="T20" s="58" t="s">
        <v>157</v>
      </c>
      <c r="U20" s="58" t="s">
        <v>78</v>
      </c>
      <c r="V20" s="59" t="s">
        <v>320</v>
      </c>
      <c r="W20" s="59" t="s">
        <v>150</v>
      </c>
      <c r="X20" s="59" t="s">
        <v>150</v>
      </c>
      <c r="Y20" s="59" t="s">
        <v>321</v>
      </c>
      <c r="Z20" s="59">
        <v>10011</v>
      </c>
      <c r="AA20" s="60" t="s">
        <v>322</v>
      </c>
      <c r="AB20" s="59" t="s">
        <v>323</v>
      </c>
      <c r="AC20" s="59" t="s">
        <v>324</v>
      </c>
      <c r="AD20" s="60"/>
      <c r="AE20" s="60" t="s">
        <v>150</v>
      </c>
      <c r="AF20" s="60" t="s">
        <v>151</v>
      </c>
      <c r="AG20" s="60" t="s">
        <v>151</v>
      </c>
      <c r="AH20" s="59" t="s">
        <v>320</v>
      </c>
    </row>
    <row r="21" spans="1:34">
      <c r="A21" s="58" t="s">
        <v>130</v>
      </c>
      <c r="B21" s="58" t="s">
        <v>131</v>
      </c>
      <c r="C21" s="58" t="s">
        <v>94</v>
      </c>
      <c r="D21" s="58" t="s">
        <v>325</v>
      </c>
      <c r="E21" s="59" t="s">
        <v>312</v>
      </c>
      <c r="F21" s="58" t="s">
        <v>313</v>
      </c>
      <c r="G21" s="58" t="s">
        <v>314</v>
      </c>
      <c r="H21" s="58" t="s">
        <v>315</v>
      </c>
      <c r="I21" s="59">
        <v>58</v>
      </c>
      <c r="J21" s="58" t="s">
        <v>179</v>
      </c>
      <c r="K21" s="58">
        <v>45000</v>
      </c>
      <c r="L21" s="59" t="s">
        <v>316</v>
      </c>
      <c r="M21" s="59" t="s">
        <v>326</v>
      </c>
      <c r="N21" s="58">
        <v>45000</v>
      </c>
      <c r="O21" s="58" t="s">
        <v>87</v>
      </c>
      <c r="P21" s="58" t="s">
        <v>141</v>
      </c>
      <c r="Q21" s="58"/>
      <c r="R21" s="58" t="s">
        <v>327</v>
      </c>
      <c r="S21" s="58" t="s">
        <v>142</v>
      </c>
      <c r="T21" s="58" t="s">
        <v>169</v>
      </c>
      <c r="U21" s="58"/>
      <c r="V21" s="59" t="s">
        <v>316</v>
      </c>
      <c r="W21" s="59" t="s">
        <v>150</v>
      </c>
      <c r="X21" s="59" t="s">
        <v>150</v>
      </c>
      <c r="Y21" s="59" t="s">
        <v>150</v>
      </c>
      <c r="Z21" s="59"/>
      <c r="AA21" s="60"/>
      <c r="AB21" s="59" t="s">
        <v>150</v>
      </c>
      <c r="AC21" s="59"/>
      <c r="AD21" s="60" t="s">
        <v>328</v>
      </c>
      <c r="AE21" s="60" t="s">
        <v>150</v>
      </c>
      <c r="AF21" s="60" t="s">
        <v>172</v>
      </c>
      <c r="AG21" s="60" t="s">
        <v>173</v>
      </c>
      <c r="AH21" s="59" t="s">
        <v>316</v>
      </c>
    </row>
    <row r="22" spans="1:34">
      <c r="A22" s="58" t="s">
        <v>130</v>
      </c>
      <c r="B22" s="58" t="s">
        <v>131</v>
      </c>
      <c r="C22" s="58" t="s">
        <v>132</v>
      </c>
      <c r="D22" s="58" t="s">
        <v>329</v>
      </c>
      <c r="E22" s="59" t="s">
        <v>312</v>
      </c>
      <c r="F22" s="58" t="s">
        <v>313</v>
      </c>
      <c r="G22" s="58" t="s">
        <v>314</v>
      </c>
      <c r="H22" s="58" t="s">
        <v>330</v>
      </c>
      <c r="I22" s="59">
        <v>65</v>
      </c>
      <c r="J22" s="58" t="s">
        <v>275</v>
      </c>
      <c r="K22" s="58">
        <v>117958</v>
      </c>
      <c r="L22" s="59" t="s">
        <v>161</v>
      </c>
      <c r="M22" s="59" t="s">
        <v>331</v>
      </c>
      <c r="N22" s="58">
        <v>65994</v>
      </c>
      <c r="O22" s="58" t="s">
        <v>332</v>
      </c>
      <c r="P22" s="58" t="s">
        <v>141</v>
      </c>
      <c r="Q22" s="58" t="s">
        <v>76</v>
      </c>
      <c r="R22" s="58" t="s">
        <v>333</v>
      </c>
      <c r="S22" s="58" t="s">
        <v>142</v>
      </c>
      <c r="T22" s="58" t="s">
        <v>142</v>
      </c>
      <c r="U22" s="58" t="s">
        <v>334</v>
      </c>
      <c r="V22" s="59" t="s">
        <v>200</v>
      </c>
      <c r="W22" s="59" t="s">
        <v>335</v>
      </c>
      <c r="X22" s="59" t="s">
        <v>336</v>
      </c>
      <c r="Y22" s="59" t="s">
        <v>237</v>
      </c>
      <c r="Z22" s="59">
        <v>51964</v>
      </c>
      <c r="AA22" s="60" t="s">
        <v>337</v>
      </c>
      <c r="AB22" s="59" t="s">
        <v>338</v>
      </c>
      <c r="AC22" s="59" t="s">
        <v>339</v>
      </c>
      <c r="AD22" s="60"/>
      <c r="AE22" s="60" t="s">
        <v>150</v>
      </c>
      <c r="AF22" s="60" t="s">
        <v>151</v>
      </c>
      <c r="AG22" s="60" t="s">
        <v>151</v>
      </c>
      <c r="AH22" s="59" t="s">
        <v>336</v>
      </c>
    </row>
    <row r="23" spans="1:34">
      <c r="A23" s="58" t="s">
        <v>130</v>
      </c>
      <c r="B23" s="58" t="s">
        <v>131</v>
      </c>
      <c r="C23" s="58" t="s">
        <v>132</v>
      </c>
      <c r="D23" s="58" t="s">
        <v>340</v>
      </c>
      <c r="E23" s="59" t="s">
        <v>312</v>
      </c>
      <c r="F23" s="58" t="s">
        <v>313</v>
      </c>
      <c r="G23" s="58" t="s">
        <v>314</v>
      </c>
      <c r="H23" s="58" t="s">
        <v>315</v>
      </c>
      <c r="I23" s="59">
        <v>58</v>
      </c>
      <c r="J23" s="58" t="s">
        <v>179</v>
      </c>
      <c r="K23" s="58">
        <v>498885</v>
      </c>
      <c r="L23" s="59" t="s">
        <v>341</v>
      </c>
      <c r="M23" s="59" t="s">
        <v>342</v>
      </c>
      <c r="N23" s="58">
        <v>405390</v>
      </c>
      <c r="O23" s="58" t="s">
        <v>343</v>
      </c>
      <c r="P23" s="58" t="s">
        <v>141</v>
      </c>
      <c r="Q23" s="58" t="s">
        <v>76</v>
      </c>
      <c r="R23" s="58" t="s">
        <v>344</v>
      </c>
      <c r="S23" s="58" t="s">
        <v>142</v>
      </c>
      <c r="T23" s="58" t="s">
        <v>142</v>
      </c>
      <c r="U23" s="58" t="s">
        <v>345</v>
      </c>
      <c r="V23" s="59" t="s">
        <v>346</v>
      </c>
      <c r="W23" s="59" t="s">
        <v>186</v>
      </c>
      <c r="X23" s="59" t="s">
        <v>347</v>
      </c>
      <c r="Y23" s="59" t="s">
        <v>347</v>
      </c>
      <c r="Z23" s="59">
        <v>93495</v>
      </c>
      <c r="AA23" s="60" t="s">
        <v>348</v>
      </c>
      <c r="AB23" s="59" t="s">
        <v>349</v>
      </c>
      <c r="AC23" s="59" t="s">
        <v>350</v>
      </c>
      <c r="AD23" s="60"/>
      <c r="AE23" s="60" t="s">
        <v>150</v>
      </c>
      <c r="AF23" s="60" t="s">
        <v>151</v>
      </c>
      <c r="AG23" s="60" t="s">
        <v>151</v>
      </c>
      <c r="AH23" s="59" t="s">
        <v>347</v>
      </c>
    </row>
    <row r="24" spans="1:34">
      <c r="A24" s="58" t="s">
        <v>130</v>
      </c>
      <c r="B24" s="58" t="s">
        <v>131</v>
      </c>
      <c r="C24" s="58" t="s">
        <v>132</v>
      </c>
      <c r="D24" s="58" t="s">
        <v>351</v>
      </c>
      <c r="E24" s="59" t="s">
        <v>352</v>
      </c>
      <c r="F24" s="58" t="s">
        <v>353</v>
      </c>
      <c r="G24" s="58" t="s">
        <v>354</v>
      </c>
      <c r="H24" s="58" t="s">
        <v>354</v>
      </c>
      <c r="I24" s="59">
        <v>57</v>
      </c>
      <c r="J24" s="58" t="s">
        <v>57</v>
      </c>
      <c r="K24" s="58">
        <v>236352</v>
      </c>
      <c r="L24" s="59" t="s">
        <v>355</v>
      </c>
      <c r="M24" s="59" t="s">
        <v>356</v>
      </c>
      <c r="N24" s="58">
        <v>233013</v>
      </c>
      <c r="O24" s="58" t="s">
        <v>357</v>
      </c>
      <c r="P24" s="58" t="s">
        <v>86</v>
      </c>
      <c r="Q24" s="58" t="s">
        <v>76</v>
      </c>
      <c r="R24" s="58" t="s">
        <v>358</v>
      </c>
      <c r="S24" s="58" t="s">
        <v>157</v>
      </c>
      <c r="T24" s="58" t="s">
        <v>157</v>
      </c>
      <c r="U24" s="58" t="s">
        <v>359</v>
      </c>
      <c r="V24" s="59" t="s">
        <v>226</v>
      </c>
      <c r="W24" s="59" t="s">
        <v>150</v>
      </c>
      <c r="X24" s="59" t="s">
        <v>150</v>
      </c>
      <c r="Y24" s="59" t="s">
        <v>232</v>
      </c>
      <c r="Z24" s="59">
        <v>3339</v>
      </c>
      <c r="AA24" s="60" t="s">
        <v>360</v>
      </c>
      <c r="AB24" s="59" t="s">
        <v>150</v>
      </c>
      <c r="AC24" s="59"/>
      <c r="AD24" s="60"/>
      <c r="AE24" s="60" t="s">
        <v>150</v>
      </c>
      <c r="AF24" s="60" t="s">
        <v>208</v>
      </c>
      <c r="AG24" s="60" t="s">
        <v>209</v>
      </c>
      <c r="AH24" s="59" t="s">
        <v>226</v>
      </c>
    </row>
    <row r="25" spans="1:34">
      <c r="A25" s="58" t="s">
        <v>130</v>
      </c>
      <c r="B25" s="58" t="s">
        <v>131</v>
      </c>
      <c r="C25" s="58" t="s">
        <v>132</v>
      </c>
      <c r="D25" s="58" t="s">
        <v>361</v>
      </c>
      <c r="E25" s="59" t="s">
        <v>362</v>
      </c>
      <c r="F25" s="58" t="s">
        <v>363</v>
      </c>
      <c r="G25" s="58" t="s">
        <v>364</v>
      </c>
      <c r="H25" s="58" t="s">
        <v>365</v>
      </c>
      <c r="I25" s="59">
        <v>71</v>
      </c>
      <c r="J25" s="58" t="s">
        <v>366</v>
      </c>
      <c r="K25" s="58">
        <v>85000</v>
      </c>
      <c r="L25" s="59" t="s">
        <v>367</v>
      </c>
      <c r="M25" s="59" t="s">
        <v>367</v>
      </c>
      <c r="N25" s="58">
        <v>70000</v>
      </c>
      <c r="O25" s="58" t="s">
        <v>368</v>
      </c>
      <c r="P25" s="58" t="s">
        <v>141</v>
      </c>
      <c r="Q25" s="58" t="s">
        <v>76</v>
      </c>
      <c r="R25" s="58" t="s">
        <v>369</v>
      </c>
      <c r="S25" s="58" t="s">
        <v>142</v>
      </c>
      <c r="T25" s="58" t="s">
        <v>142</v>
      </c>
      <c r="U25" s="58" t="s">
        <v>84</v>
      </c>
      <c r="V25" s="59" t="s">
        <v>235</v>
      </c>
      <c r="W25" s="59" t="s">
        <v>370</v>
      </c>
      <c r="X25" s="59" t="s">
        <v>371</v>
      </c>
      <c r="Y25" s="59" t="s">
        <v>372</v>
      </c>
      <c r="Z25" s="59">
        <v>15000</v>
      </c>
      <c r="AA25" s="60" t="s">
        <v>373</v>
      </c>
      <c r="AB25" s="59" t="s">
        <v>374</v>
      </c>
      <c r="AC25" s="59" t="s">
        <v>375</v>
      </c>
      <c r="AD25" s="60"/>
      <c r="AE25" s="60" t="s">
        <v>150</v>
      </c>
      <c r="AF25" s="60" t="s">
        <v>151</v>
      </c>
      <c r="AG25" s="60" t="s">
        <v>151</v>
      </c>
      <c r="AH25" s="59" t="s">
        <v>371</v>
      </c>
    </row>
    <row r="26" spans="1:34">
      <c r="A26" s="58" t="s">
        <v>130</v>
      </c>
      <c r="B26" s="58" t="s">
        <v>131</v>
      </c>
      <c r="C26" s="58" t="s">
        <v>132</v>
      </c>
      <c r="D26" s="58" t="s">
        <v>376</v>
      </c>
      <c r="E26" s="59" t="s">
        <v>377</v>
      </c>
      <c r="F26" s="58" t="s">
        <v>378</v>
      </c>
      <c r="G26" s="58" t="s">
        <v>379</v>
      </c>
      <c r="H26" s="58" t="s">
        <v>380</v>
      </c>
      <c r="I26" s="59">
        <v>77</v>
      </c>
      <c r="J26" s="58" t="s">
        <v>366</v>
      </c>
      <c r="K26" s="58">
        <v>65513</v>
      </c>
      <c r="L26" s="59" t="s">
        <v>381</v>
      </c>
      <c r="M26" s="59" t="s">
        <v>382</v>
      </c>
      <c r="N26" s="58">
        <v>50409</v>
      </c>
      <c r="O26" s="58" t="s">
        <v>383</v>
      </c>
      <c r="P26" s="58" t="s">
        <v>86</v>
      </c>
      <c r="Q26" s="58" t="s">
        <v>76</v>
      </c>
      <c r="R26" s="58" t="s">
        <v>384</v>
      </c>
      <c r="S26" s="58" t="s">
        <v>157</v>
      </c>
      <c r="T26" s="58" t="s">
        <v>157</v>
      </c>
      <c r="U26" s="58" t="s">
        <v>78</v>
      </c>
      <c r="V26" s="59" t="s">
        <v>385</v>
      </c>
      <c r="W26" s="59" t="s">
        <v>386</v>
      </c>
      <c r="X26" s="59" t="s">
        <v>387</v>
      </c>
      <c r="Y26" s="59" t="s">
        <v>387</v>
      </c>
      <c r="Z26" s="59">
        <v>15104</v>
      </c>
      <c r="AA26" s="60" t="s">
        <v>388</v>
      </c>
      <c r="AB26" s="59" t="s">
        <v>389</v>
      </c>
      <c r="AC26" s="59" t="s">
        <v>390</v>
      </c>
      <c r="AD26" s="60"/>
      <c r="AE26" s="60" t="s">
        <v>150</v>
      </c>
      <c r="AF26" s="60" t="s">
        <v>151</v>
      </c>
      <c r="AG26" s="60" t="s">
        <v>151</v>
      </c>
      <c r="AH26" s="59" t="s">
        <v>387</v>
      </c>
    </row>
    <row r="27" spans="1:34">
      <c r="A27" s="58" t="s">
        <v>130</v>
      </c>
      <c r="B27" s="58" t="s">
        <v>131</v>
      </c>
      <c r="C27" s="58" t="s">
        <v>132</v>
      </c>
      <c r="D27" s="58" t="s">
        <v>391</v>
      </c>
      <c r="E27" s="59" t="s">
        <v>392</v>
      </c>
      <c r="F27" s="58" t="s">
        <v>393</v>
      </c>
      <c r="G27" s="58" t="s">
        <v>394</v>
      </c>
      <c r="H27" s="58" t="s">
        <v>395</v>
      </c>
      <c r="I27" s="59">
        <v>66</v>
      </c>
      <c r="J27" s="58" t="s">
        <v>179</v>
      </c>
      <c r="K27" s="58">
        <v>13896</v>
      </c>
      <c r="L27" s="59" t="s">
        <v>186</v>
      </c>
      <c r="M27" s="59" t="s">
        <v>187</v>
      </c>
      <c r="N27" s="58">
        <v>12433</v>
      </c>
      <c r="O27" s="58" t="s">
        <v>396</v>
      </c>
      <c r="P27" s="58" t="s">
        <v>141</v>
      </c>
      <c r="Q27" s="58" t="s">
        <v>76</v>
      </c>
      <c r="R27" s="58" t="s">
        <v>397</v>
      </c>
      <c r="S27" s="58" t="s">
        <v>142</v>
      </c>
      <c r="T27" s="58" t="s">
        <v>142</v>
      </c>
      <c r="U27" s="58" t="s">
        <v>398</v>
      </c>
      <c r="V27" s="59" t="s">
        <v>399</v>
      </c>
      <c r="W27" s="59" t="s">
        <v>150</v>
      </c>
      <c r="X27" s="59" t="s">
        <v>150</v>
      </c>
      <c r="Y27" s="59" t="s">
        <v>400</v>
      </c>
      <c r="Z27" s="59">
        <v>1463</v>
      </c>
      <c r="AA27" s="60" t="s">
        <v>401</v>
      </c>
      <c r="AB27" s="59" t="s">
        <v>213</v>
      </c>
      <c r="AC27" s="59" t="s">
        <v>402</v>
      </c>
      <c r="AD27" s="60"/>
      <c r="AE27" s="60" t="s">
        <v>150</v>
      </c>
      <c r="AF27" s="60" t="s">
        <v>151</v>
      </c>
      <c r="AG27" s="60" t="s">
        <v>151</v>
      </c>
      <c r="AH27" s="59" t="s">
        <v>399</v>
      </c>
    </row>
    <row r="28" spans="1:34">
      <c r="A28" s="58" t="s">
        <v>130</v>
      </c>
      <c r="B28" s="58" t="s">
        <v>131</v>
      </c>
      <c r="C28" s="58" t="s">
        <v>132</v>
      </c>
      <c r="D28" s="58" t="s">
        <v>403</v>
      </c>
      <c r="E28" s="59" t="s">
        <v>392</v>
      </c>
      <c r="F28" s="58" t="s">
        <v>393</v>
      </c>
      <c r="G28" s="58" t="s">
        <v>394</v>
      </c>
      <c r="H28" s="58" t="s">
        <v>404</v>
      </c>
      <c r="I28" s="59">
        <v>80</v>
      </c>
      <c r="J28" s="58" t="s">
        <v>275</v>
      </c>
      <c r="K28" s="58">
        <v>63600</v>
      </c>
      <c r="L28" s="59" t="s">
        <v>405</v>
      </c>
      <c r="M28" s="59" t="s">
        <v>405</v>
      </c>
      <c r="N28" s="58">
        <v>63600</v>
      </c>
      <c r="O28" s="58" t="s">
        <v>406</v>
      </c>
      <c r="P28" s="58" t="s">
        <v>86</v>
      </c>
      <c r="Q28" s="58" t="s">
        <v>76</v>
      </c>
      <c r="R28" s="58" t="s">
        <v>407</v>
      </c>
      <c r="S28" s="58" t="s">
        <v>157</v>
      </c>
      <c r="T28" s="58" t="s">
        <v>157</v>
      </c>
      <c r="U28" s="58" t="s">
        <v>408</v>
      </c>
      <c r="V28" s="59" t="s">
        <v>246</v>
      </c>
      <c r="W28" s="59" t="s">
        <v>150</v>
      </c>
      <c r="X28" s="59" t="s">
        <v>150</v>
      </c>
      <c r="Y28" s="59" t="s">
        <v>409</v>
      </c>
      <c r="Z28" s="59">
        <v>0</v>
      </c>
      <c r="AA28" s="60" t="s">
        <v>150</v>
      </c>
      <c r="AB28" s="59" t="s">
        <v>242</v>
      </c>
      <c r="AC28" s="59" t="s">
        <v>410</v>
      </c>
      <c r="AD28" s="60"/>
      <c r="AE28" s="60" t="s">
        <v>150</v>
      </c>
      <c r="AF28" s="60" t="s">
        <v>151</v>
      </c>
      <c r="AG28" s="60" t="s">
        <v>151</v>
      </c>
      <c r="AH28" s="59" t="s">
        <v>246</v>
      </c>
    </row>
    <row r="29" spans="1:34">
      <c r="A29" s="58" t="s">
        <v>130</v>
      </c>
      <c r="B29" s="58" t="s">
        <v>131</v>
      </c>
      <c r="C29" s="58" t="s">
        <v>132</v>
      </c>
      <c r="D29" s="58" t="s">
        <v>411</v>
      </c>
      <c r="E29" s="59" t="s">
        <v>392</v>
      </c>
      <c r="F29" s="58" t="s">
        <v>393</v>
      </c>
      <c r="G29" s="58" t="s">
        <v>394</v>
      </c>
      <c r="H29" s="58" t="s">
        <v>395</v>
      </c>
      <c r="I29" s="59">
        <v>66</v>
      </c>
      <c r="J29" s="58" t="s">
        <v>179</v>
      </c>
      <c r="K29" s="58">
        <v>17914</v>
      </c>
      <c r="L29" s="59" t="s">
        <v>412</v>
      </c>
      <c r="M29" s="59" t="s">
        <v>413</v>
      </c>
      <c r="N29" s="58">
        <v>15328</v>
      </c>
      <c r="O29" s="58" t="s">
        <v>396</v>
      </c>
      <c r="P29" s="58" t="s">
        <v>86</v>
      </c>
      <c r="Q29" s="58" t="s">
        <v>76</v>
      </c>
      <c r="R29" s="58" t="s">
        <v>414</v>
      </c>
      <c r="S29" s="58" t="s">
        <v>142</v>
      </c>
      <c r="T29" s="58" t="s">
        <v>142</v>
      </c>
      <c r="U29" s="58" t="s">
        <v>415</v>
      </c>
      <c r="V29" s="59" t="s">
        <v>399</v>
      </c>
      <c r="W29" s="59" t="s">
        <v>198</v>
      </c>
      <c r="X29" s="59" t="s">
        <v>211</v>
      </c>
      <c r="Y29" s="59" t="s">
        <v>416</v>
      </c>
      <c r="Z29" s="59">
        <v>2586</v>
      </c>
      <c r="AA29" s="60" t="s">
        <v>417</v>
      </c>
      <c r="AB29" s="59" t="s">
        <v>213</v>
      </c>
      <c r="AC29" s="59" t="s">
        <v>418</v>
      </c>
      <c r="AD29" s="60"/>
      <c r="AE29" s="60" t="s">
        <v>150</v>
      </c>
      <c r="AF29" s="60" t="s">
        <v>151</v>
      </c>
      <c r="AG29" s="60" t="s">
        <v>151</v>
      </c>
      <c r="AH29" s="59" t="s">
        <v>211</v>
      </c>
    </row>
    <row r="30" spans="1:34">
      <c r="A30" s="58" t="s">
        <v>130</v>
      </c>
      <c r="B30" s="58" t="s">
        <v>131</v>
      </c>
      <c r="C30" s="58" t="s">
        <v>132</v>
      </c>
      <c r="D30" s="58" t="s">
        <v>419</v>
      </c>
      <c r="E30" s="59" t="s">
        <v>420</v>
      </c>
      <c r="F30" s="58" t="s">
        <v>421</v>
      </c>
      <c r="G30" s="58" t="s">
        <v>422</v>
      </c>
      <c r="H30" s="58" t="s">
        <v>423</v>
      </c>
      <c r="I30" s="59">
        <v>42</v>
      </c>
      <c r="J30" s="58" t="s">
        <v>77</v>
      </c>
      <c r="K30" s="58">
        <v>95000</v>
      </c>
      <c r="L30" s="59" t="s">
        <v>310</v>
      </c>
      <c r="M30" s="59" t="s">
        <v>424</v>
      </c>
      <c r="N30" s="58">
        <v>95000</v>
      </c>
      <c r="O30" s="58" t="s">
        <v>425</v>
      </c>
      <c r="P30" s="58" t="s">
        <v>86</v>
      </c>
      <c r="Q30" s="58" t="s">
        <v>76</v>
      </c>
      <c r="R30" s="58" t="s">
        <v>426</v>
      </c>
      <c r="S30" s="58" t="s">
        <v>157</v>
      </c>
      <c r="T30" s="58" t="s">
        <v>88</v>
      </c>
      <c r="U30" s="58" t="s">
        <v>224</v>
      </c>
      <c r="V30" s="59" t="s">
        <v>424</v>
      </c>
      <c r="W30" s="59" t="s">
        <v>150</v>
      </c>
      <c r="X30" s="59" t="s">
        <v>150</v>
      </c>
      <c r="Y30" s="59" t="s">
        <v>150</v>
      </c>
      <c r="Z30" s="59"/>
      <c r="AA30" s="60"/>
      <c r="AB30" s="59" t="s">
        <v>150</v>
      </c>
      <c r="AC30" s="59"/>
      <c r="AD30" s="60"/>
      <c r="AE30" s="60" t="s">
        <v>150</v>
      </c>
      <c r="AF30" s="60" t="s">
        <v>208</v>
      </c>
      <c r="AG30" s="60" t="s">
        <v>427</v>
      </c>
      <c r="AH30" s="59" t="s">
        <v>424</v>
      </c>
    </row>
    <row r="31" spans="1:34">
      <c r="A31" s="58" t="s">
        <v>130</v>
      </c>
      <c r="B31" s="58" t="s">
        <v>131</v>
      </c>
      <c r="C31" s="58" t="s">
        <v>132</v>
      </c>
      <c r="D31" s="58" t="s">
        <v>428</v>
      </c>
      <c r="E31" s="59" t="s">
        <v>429</v>
      </c>
      <c r="F31" s="58" t="s">
        <v>430</v>
      </c>
      <c r="G31" s="58" t="s">
        <v>431</v>
      </c>
      <c r="H31" s="58" t="s">
        <v>432</v>
      </c>
      <c r="I31" s="59">
        <v>72</v>
      </c>
      <c r="J31" s="58" t="s">
        <v>179</v>
      </c>
      <c r="K31" s="58">
        <v>428030</v>
      </c>
      <c r="L31" s="59" t="s">
        <v>433</v>
      </c>
      <c r="M31" s="59" t="s">
        <v>434</v>
      </c>
      <c r="N31" s="58">
        <v>394578</v>
      </c>
      <c r="O31" s="58" t="s">
        <v>435</v>
      </c>
      <c r="P31" s="58" t="s">
        <v>141</v>
      </c>
      <c r="Q31" s="58" t="s">
        <v>76</v>
      </c>
      <c r="R31" s="58" t="s">
        <v>436</v>
      </c>
      <c r="S31" s="58" t="s">
        <v>142</v>
      </c>
      <c r="T31" s="58" t="s">
        <v>142</v>
      </c>
      <c r="U31" s="58" t="s">
        <v>345</v>
      </c>
      <c r="V31" s="59" t="s">
        <v>437</v>
      </c>
      <c r="W31" s="59" t="s">
        <v>438</v>
      </c>
      <c r="X31" s="59" t="s">
        <v>193</v>
      </c>
      <c r="Y31" s="59" t="s">
        <v>193</v>
      </c>
      <c r="Z31" s="59">
        <v>33452</v>
      </c>
      <c r="AA31" s="60" t="s">
        <v>439</v>
      </c>
      <c r="AB31" s="59" t="s">
        <v>440</v>
      </c>
      <c r="AC31" s="59" t="s">
        <v>441</v>
      </c>
      <c r="AD31" s="60"/>
      <c r="AE31" s="60" t="s">
        <v>150</v>
      </c>
      <c r="AF31" s="60" t="s">
        <v>151</v>
      </c>
      <c r="AG31" s="60" t="s">
        <v>151</v>
      </c>
      <c r="AH31" s="59" t="s">
        <v>193</v>
      </c>
    </row>
    <row r="32" spans="1:34">
      <c r="A32" s="58" t="s">
        <v>130</v>
      </c>
      <c r="B32" s="58" t="s">
        <v>131</v>
      </c>
      <c r="C32" s="58" t="s">
        <v>132</v>
      </c>
      <c r="D32" s="58" t="s">
        <v>442</v>
      </c>
      <c r="E32" s="59" t="s">
        <v>443</v>
      </c>
      <c r="F32" s="58" t="s">
        <v>444</v>
      </c>
      <c r="G32" s="58" t="s">
        <v>445</v>
      </c>
      <c r="H32" s="58" t="s">
        <v>446</v>
      </c>
      <c r="I32" s="59">
        <v>38</v>
      </c>
      <c r="J32" s="58" t="s">
        <v>77</v>
      </c>
      <c r="K32" s="58">
        <v>15205</v>
      </c>
      <c r="L32" s="59" t="s">
        <v>447</v>
      </c>
      <c r="M32" s="59" t="s">
        <v>200</v>
      </c>
      <c r="N32" s="58">
        <v>12905</v>
      </c>
      <c r="O32" s="58" t="s">
        <v>448</v>
      </c>
      <c r="P32" s="58" t="s">
        <v>141</v>
      </c>
      <c r="Q32" s="58" t="s">
        <v>76</v>
      </c>
      <c r="R32" s="58" t="s">
        <v>449</v>
      </c>
      <c r="S32" s="58" t="s">
        <v>142</v>
      </c>
      <c r="T32" s="58" t="s">
        <v>142</v>
      </c>
      <c r="U32" s="58" t="s">
        <v>78</v>
      </c>
      <c r="V32" s="59" t="s">
        <v>450</v>
      </c>
      <c r="W32" s="59" t="s">
        <v>371</v>
      </c>
      <c r="X32" s="59" t="s">
        <v>236</v>
      </c>
      <c r="Y32" s="59" t="s">
        <v>336</v>
      </c>
      <c r="Z32" s="59">
        <v>2300</v>
      </c>
      <c r="AA32" s="60" t="s">
        <v>451</v>
      </c>
      <c r="AB32" s="59" t="s">
        <v>237</v>
      </c>
      <c r="AC32" s="59" t="s">
        <v>452</v>
      </c>
      <c r="AD32" s="60"/>
      <c r="AE32" s="60" t="s">
        <v>150</v>
      </c>
      <c r="AF32" s="60" t="s">
        <v>151</v>
      </c>
      <c r="AG32" s="60" t="s">
        <v>151</v>
      </c>
      <c r="AH32" s="59" t="s">
        <v>236</v>
      </c>
    </row>
    <row r="33" spans="1:34">
      <c r="A33" s="58" t="s">
        <v>130</v>
      </c>
      <c r="B33" s="58" t="s">
        <v>131</v>
      </c>
      <c r="C33" s="58" t="s">
        <v>132</v>
      </c>
      <c r="D33" s="58" t="s">
        <v>453</v>
      </c>
      <c r="E33" s="59" t="s">
        <v>454</v>
      </c>
      <c r="F33" s="58" t="s">
        <v>455</v>
      </c>
      <c r="G33" s="58" t="s">
        <v>456</v>
      </c>
      <c r="H33" s="58" t="s">
        <v>456</v>
      </c>
      <c r="I33" s="59">
        <v>54</v>
      </c>
      <c r="J33" s="58" t="s">
        <v>57</v>
      </c>
      <c r="K33" s="58">
        <v>115755</v>
      </c>
      <c r="L33" s="59" t="s">
        <v>457</v>
      </c>
      <c r="M33" s="59" t="s">
        <v>458</v>
      </c>
      <c r="N33" s="58">
        <v>108068</v>
      </c>
      <c r="O33" s="58" t="s">
        <v>459</v>
      </c>
      <c r="P33" s="58" t="s">
        <v>86</v>
      </c>
      <c r="Q33" s="58" t="s">
        <v>76</v>
      </c>
      <c r="R33" s="58" t="s">
        <v>460</v>
      </c>
      <c r="S33" s="58" t="s">
        <v>157</v>
      </c>
      <c r="T33" s="58" t="s">
        <v>157</v>
      </c>
      <c r="U33" s="58" t="s">
        <v>81</v>
      </c>
      <c r="V33" s="59" t="s">
        <v>461</v>
      </c>
      <c r="W33" s="59" t="s">
        <v>462</v>
      </c>
      <c r="X33" s="59" t="s">
        <v>232</v>
      </c>
      <c r="Y33" s="59" t="s">
        <v>232</v>
      </c>
      <c r="Z33" s="59">
        <v>7687</v>
      </c>
      <c r="AA33" s="60" t="s">
        <v>463</v>
      </c>
      <c r="AB33" s="59" t="s">
        <v>150</v>
      </c>
      <c r="AC33" s="59"/>
      <c r="AD33" s="60"/>
      <c r="AE33" s="60" t="s">
        <v>150</v>
      </c>
      <c r="AF33" s="60" t="s">
        <v>208</v>
      </c>
      <c r="AG33" s="60" t="s">
        <v>209</v>
      </c>
      <c r="AH33" s="59" t="s">
        <v>232</v>
      </c>
    </row>
    <row r="34" spans="1:34">
      <c r="A34" s="58" t="s">
        <v>130</v>
      </c>
      <c r="B34" s="58" t="s">
        <v>131</v>
      </c>
      <c r="C34" s="58" t="s">
        <v>132</v>
      </c>
      <c r="D34" s="58" t="s">
        <v>464</v>
      </c>
      <c r="E34" s="59" t="s">
        <v>465</v>
      </c>
      <c r="F34" s="58" t="s">
        <v>466</v>
      </c>
      <c r="G34" s="58" t="s">
        <v>467</v>
      </c>
      <c r="H34" s="58" t="s">
        <v>468</v>
      </c>
      <c r="I34" s="59">
        <v>63</v>
      </c>
      <c r="J34" s="58" t="s">
        <v>179</v>
      </c>
      <c r="K34" s="58">
        <v>5029</v>
      </c>
      <c r="L34" s="59" t="s">
        <v>298</v>
      </c>
      <c r="M34" s="59" t="s">
        <v>469</v>
      </c>
      <c r="N34" s="58">
        <v>3779</v>
      </c>
      <c r="O34" s="58" t="s">
        <v>470</v>
      </c>
      <c r="P34" s="58" t="s">
        <v>471</v>
      </c>
      <c r="Q34" s="58" t="s">
        <v>76</v>
      </c>
      <c r="R34" s="58" t="s">
        <v>472</v>
      </c>
      <c r="S34" s="58" t="s">
        <v>142</v>
      </c>
      <c r="T34" s="58" t="s">
        <v>142</v>
      </c>
      <c r="U34" s="58" t="s">
        <v>91</v>
      </c>
      <c r="V34" s="59" t="s">
        <v>437</v>
      </c>
      <c r="W34" s="59" t="s">
        <v>438</v>
      </c>
      <c r="X34" s="59" t="s">
        <v>473</v>
      </c>
      <c r="Y34" s="59" t="s">
        <v>206</v>
      </c>
      <c r="Z34" s="59">
        <v>1250</v>
      </c>
      <c r="AA34" s="60" t="s">
        <v>474</v>
      </c>
      <c r="AB34" s="59" t="s">
        <v>475</v>
      </c>
      <c r="AC34" s="59" t="s">
        <v>476</v>
      </c>
      <c r="AD34" s="60"/>
      <c r="AE34" s="60" t="s">
        <v>150</v>
      </c>
      <c r="AF34" s="60" t="s">
        <v>151</v>
      </c>
      <c r="AG34" s="60" t="s">
        <v>151</v>
      </c>
      <c r="AH34" s="59" t="s">
        <v>473</v>
      </c>
    </row>
    <row r="35" spans="1:34">
      <c r="A35" s="58" t="s">
        <v>130</v>
      </c>
      <c r="B35" s="58" t="s">
        <v>131</v>
      </c>
      <c r="C35" s="58" t="s">
        <v>132</v>
      </c>
      <c r="D35" s="58" t="s">
        <v>477</v>
      </c>
      <c r="E35" s="59" t="s">
        <v>478</v>
      </c>
      <c r="F35" s="58" t="s">
        <v>479</v>
      </c>
      <c r="G35" s="58" t="s">
        <v>480</v>
      </c>
      <c r="H35" s="58" t="s">
        <v>481</v>
      </c>
      <c r="I35" s="59">
        <v>10</v>
      </c>
      <c r="J35" s="58" t="s">
        <v>53</v>
      </c>
      <c r="K35" s="58">
        <v>16918</v>
      </c>
      <c r="L35" s="59" t="s">
        <v>482</v>
      </c>
      <c r="M35" s="59" t="s">
        <v>245</v>
      </c>
      <c r="N35" s="58">
        <v>16110</v>
      </c>
      <c r="O35" s="58" t="s">
        <v>483</v>
      </c>
      <c r="P35" s="58" t="s">
        <v>86</v>
      </c>
      <c r="Q35" s="58" t="s">
        <v>76</v>
      </c>
      <c r="R35" s="58" t="s">
        <v>484</v>
      </c>
      <c r="S35" s="58" t="s">
        <v>157</v>
      </c>
      <c r="T35" s="58" t="s">
        <v>157</v>
      </c>
      <c r="U35" s="58" t="s">
        <v>83</v>
      </c>
      <c r="V35" s="59" t="s">
        <v>485</v>
      </c>
      <c r="W35" s="59" t="s">
        <v>486</v>
      </c>
      <c r="X35" s="59" t="s">
        <v>487</v>
      </c>
      <c r="Y35" s="59" t="s">
        <v>487</v>
      </c>
      <c r="Z35" s="59">
        <v>808</v>
      </c>
      <c r="AA35" s="60" t="s">
        <v>488</v>
      </c>
      <c r="AB35" s="59" t="s">
        <v>489</v>
      </c>
      <c r="AC35" s="59" t="s">
        <v>490</v>
      </c>
      <c r="AD35" s="60"/>
      <c r="AE35" s="60" t="s">
        <v>150</v>
      </c>
      <c r="AF35" s="60" t="s">
        <v>151</v>
      </c>
      <c r="AG35" s="60" t="s">
        <v>151</v>
      </c>
      <c r="AH35" s="59" t="s">
        <v>487</v>
      </c>
    </row>
    <row r="36" spans="1:34">
      <c r="A36" s="58" t="s">
        <v>130</v>
      </c>
      <c r="B36" s="58" t="s">
        <v>131</v>
      </c>
      <c r="C36" s="58" t="s">
        <v>132</v>
      </c>
      <c r="D36" s="58" t="s">
        <v>491</v>
      </c>
      <c r="E36" s="59" t="s">
        <v>492</v>
      </c>
      <c r="F36" s="58" t="s">
        <v>493</v>
      </c>
      <c r="G36" s="58" t="s">
        <v>494</v>
      </c>
      <c r="H36" s="58" t="s">
        <v>494</v>
      </c>
      <c r="I36" s="59">
        <v>40</v>
      </c>
      <c r="J36" s="58" t="s">
        <v>57</v>
      </c>
      <c r="K36" s="58">
        <v>26848</v>
      </c>
      <c r="L36" s="59" t="s">
        <v>495</v>
      </c>
      <c r="M36" s="59" t="s">
        <v>496</v>
      </c>
      <c r="N36" s="58">
        <v>24667</v>
      </c>
      <c r="O36" s="58" t="s">
        <v>483</v>
      </c>
      <c r="P36" s="58" t="s">
        <v>86</v>
      </c>
      <c r="Q36" s="58" t="s">
        <v>76</v>
      </c>
      <c r="R36" s="58" t="s">
        <v>497</v>
      </c>
      <c r="S36" s="58" t="s">
        <v>157</v>
      </c>
      <c r="T36" s="58" t="s">
        <v>157</v>
      </c>
      <c r="U36" s="58" t="s">
        <v>82</v>
      </c>
      <c r="V36" s="59" t="s">
        <v>282</v>
      </c>
      <c r="W36" s="59" t="s">
        <v>150</v>
      </c>
      <c r="X36" s="59" t="s">
        <v>150</v>
      </c>
      <c r="Y36" s="59" t="s">
        <v>498</v>
      </c>
      <c r="Z36" s="59">
        <v>2181</v>
      </c>
      <c r="AA36" s="60" t="s">
        <v>499</v>
      </c>
      <c r="AB36" s="59" t="s">
        <v>500</v>
      </c>
      <c r="AC36" s="59" t="s">
        <v>501</v>
      </c>
      <c r="AD36" s="60"/>
      <c r="AE36" s="60" t="s">
        <v>150</v>
      </c>
      <c r="AF36" s="60" t="s">
        <v>151</v>
      </c>
      <c r="AG36" s="60" t="s">
        <v>151</v>
      </c>
      <c r="AH36" s="59" t="s">
        <v>282</v>
      </c>
    </row>
    <row r="37" spans="1:34">
      <c r="A37" s="58" t="s">
        <v>130</v>
      </c>
      <c r="B37" s="58" t="s">
        <v>131</v>
      </c>
      <c r="C37" s="58" t="s">
        <v>132</v>
      </c>
      <c r="D37" s="58" t="s">
        <v>502</v>
      </c>
      <c r="E37" s="59" t="s">
        <v>503</v>
      </c>
      <c r="F37" s="58" t="s">
        <v>504</v>
      </c>
      <c r="G37" s="58" t="s">
        <v>505</v>
      </c>
      <c r="H37" s="58" t="s">
        <v>506</v>
      </c>
      <c r="I37" s="59">
        <v>23</v>
      </c>
      <c r="J37" s="58" t="s">
        <v>53</v>
      </c>
      <c r="K37" s="58">
        <v>131741</v>
      </c>
      <c r="L37" s="59" t="s">
        <v>400</v>
      </c>
      <c r="M37" s="59" t="s">
        <v>507</v>
      </c>
      <c r="N37" s="58">
        <v>113119</v>
      </c>
      <c r="O37" s="58" t="s">
        <v>508</v>
      </c>
      <c r="P37" s="58" t="s">
        <v>141</v>
      </c>
      <c r="Q37" s="58" t="s">
        <v>76</v>
      </c>
      <c r="R37" s="58" t="s">
        <v>509</v>
      </c>
      <c r="S37" s="58" t="s">
        <v>142</v>
      </c>
      <c r="T37" s="58" t="s">
        <v>142</v>
      </c>
      <c r="U37" s="58" t="s">
        <v>510</v>
      </c>
      <c r="V37" s="59" t="s">
        <v>335</v>
      </c>
      <c r="W37" s="59" t="s">
        <v>213</v>
      </c>
      <c r="X37" s="59" t="s">
        <v>511</v>
      </c>
      <c r="Y37" s="59" t="s">
        <v>511</v>
      </c>
      <c r="Z37" s="59">
        <v>18622</v>
      </c>
      <c r="AA37" s="60" t="s">
        <v>512</v>
      </c>
      <c r="AB37" s="59" t="s">
        <v>513</v>
      </c>
      <c r="AC37" s="59" t="s">
        <v>514</v>
      </c>
      <c r="AD37" s="60"/>
      <c r="AE37" s="60" t="s">
        <v>150</v>
      </c>
      <c r="AF37" s="60" t="s">
        <v>151</v>
      </c>
      <c r="AG37" s="60" t="s">
        <v>151</v>
      </c>
      <c r="AH37" s="59" t="s">
        <v>511</v>
      </c>
    </row>
    <row r="38" spans="1:34">
      <c r="A38" s="58" t="s">
        <v>130</v>
      </c>
      <c r="B38" s="58" t="s">
        <v>131</v>
      </c>
      <c r="C38" s="58" t="s">
        <v>132</v>
      </c>
      <c r="D38" s="58" t="s">
        <v>515</v>
      </c>
      <c r="E38" s="59" t="s">
        <v>503</v>
      </c>
      <c r="F38" s="58" t="s">
        <v>504</v>
      </c>
      <c r="G38" s="58" t="s">
        <v>505</v>
      </c>
      <c r="H38" s="58" t="s">
        <v>506</v>
      </c>
      <c r="I38" s="59">
        <v>23</v>
      </c>
      <c r="J38" s="58" t="s">
        <v>53</v>
      </c>
      <c r="K38" s="58">
        <v>37382</v>
      </c>
      <c r="L38" s="59" t="s">
        <v>516</v>
      </c>
      <c r="M38" s="59" t="s">
        <v>485</v>
      </c>
      <c r="N38" s="58">
        <v>28365</v>
      </c>
      <c r="O38" s="58" t="s">
        <v>517</v>
      </c>
      <c r="P38" s="58" t="s">
        <v>141</v>
      </c>
      <c r="Q38" s="58" t="s">
        <v>76</v>
      </c>
      <c r="R38" s="58" t="s">
        <v>518</v>
      </c>
      <c r="S38" s="58" t="s">
        <v>142</v>
      </c>
      <c r="T38" s="58" t="s">
        <v>142</v>
      </c>
      <c r="U38" s="58" t="s">
        <v>519</v>
      </c>
      <c r="V38" s="59" t="s">
        <v>520</v>
      </c>
      <c r="W38" s="59" t="s">
        <v>150</v>
      </c>
      <c r="X38" s="59" t="s">
        <v>150</v>
      </c>
      <c r="Y38" s="59" t="s">
        <v>521</v>
      </c>
      <c r="Z38" s="59">
        <v>9017</v>
      </c>
      <c r="AA38" s="60" t="s">
        <v>522</v>
      </c>
      <c r="AB38" s="59" t="s">
        <v>523</v>
      </c>
      <c r="AC38" s="59" t="s">
        <v>524</v>
      </c>
      <c r="AD38" s="60"/>
      <c r="AE38" s="60" t="s">
        <v>150</v>
      </c>
      <c r="AF38" s="60" t="s">
        <v>151</v>
      </c>
      <c r="AG38" s="60" t="s">
        <v>151</v>
      </c>
      <c r="AH38" s="59" t="s">
        <v>520</v>
      </c>
    </row>
    <row r="39" spans="1:34">
      <c r="A39" s="58" t="s">
        <v>130</v>
      </c>
      <c r="B39" s="58" t="s">
        <v>131</v>
      </c>
      <c r="C39" s="58" t="s">
        <v>132</v>
      </c>
      <c r="D39" s="58" t="s">
        <v>525</v>
      </c>
      <c r="E39" s="59" t="s">
        <v>503</v>
      </c>
      <c r="F39" s="58" t="s">
        <v>504</v>
      </c>
      <c r="G39" s="58" t="s">
        <v>505</v>
      </c>
      <c r="H39" s="58" t="s">
        <v>526</v>
      </c>
      <c r="I39" s="59">
        <v>47</v>
      </c>
      <c r="J39" s="58" t="s">
        <v>57</v>
      </c>
      <c r="K39" s="58">
        <v>135000</v>
      </c>
      <c r="L39" s="59" t="s">
        <v>527</v>
      </c>
      <c r="M39" s="59" t="s">
        <v>528</v>
      </c>
      <c r="N39" s="58">
        <v>135000</v>
      </c>
      <c r="O39" s="58" t="s">
        <v>529</v>
      </c>
      <c r="P39" s="58" t="s">
        <v>86</v>
      </c>
      <c r="Q39" s="58" t="s">
        <v>76</v>
      </c>
      <c r="R39" s="58" t="s">
        <v>530</v>
      </c>
      <c r="S39" s="58" t="s">
        <v>157</v>
      </c>
      <c r="T39" s="58" t="s">
        <v>531</v>
      </c>
      <c r="U39" s="58" t="s">
        <v>345</v>
      </c>
      <c r="V39" s="59" t="s">
        <v>532</v>
      </c>
      <c r="W39" s="59" t="s">
        <v>150</v>
      </c>
      <c r="X39" s="59" t="s">
        <v>150</v>
      </c>
      <c r="Y39" s="59" t="s">
        <v>150</v>
      </c>
      <c r="Z39" s="59"/>
      <c r="AA39" s="60"/>
      <c r="AB39" s="59" t="s">
        <v>150</v>
      </c>
      <c r="AC39" s="59"/>
      <c r="AD39" s="60" t="s">
        <v>533</v>
      </c>
      <c r="AE39" s="60" t="s">
        <v>534</v>
      </c>
      <c r="AF39" s="60" t="s">
        <v>172</v>
      </c>
      <c r="AG39" s="60" t="s">
        <v>535</v>
      </c>
      <c r="AH39" s="59" t="s">
        <v>532</v>
      </c>
    </row>
    <row r="40" spans="1:34">
      <c r="A40" s="58" t="s">
        <v>130</v>
      </c>
      <c r="B40" s="58" t="s">
        <v>131</v>
      </c>
      <c r="C40" s="58" t="s">
        <v>132</v>
      </c>
      <c r="D40" s="58" t="s">
        <v>536</v>
      </c>
      <c r="E40" s="59" t="s">
        <v>537</v>
      </c>
      <c r="F40" s="58" t="s">
        <v>538</v>
      </c>
      <c r="G40" s="58" t="s">
        <v>539</v>
      </c>
      <c r="H40" s="58" t="s">
        <v>540</v>
      </c>
      <c r="I40" s="59">
        <v>77</v>
      </c>
      <c r="J40" s="58" t="s">
        <v>179</v>
      </c>
      <c r="K40" s="58">
        <v>50049</v>
      </c>
      <c r="L40" s="59" t="s">
        <v>385</v>
      </c>
      <c r="M40" s="59" t="s">
        <v>541</v>
      </c>
      <c r="N40" s="58">
        <v>41209</v>
      </c>
      <c r="O40" s="58" t="s">
        <v>542</v>
      </c>
      <c r="P40" s="58" t="s">
        <v>543</v>
      </c>
      <c r="Q40" s="58" t="s">
        <v>76</v>
      </c>
      <c r="R40" s="58" t="s">
        <v>544</v>
      </c>
      <c r="S40" s="58" t="s">
        <v>142</v>
      </c>
      <c r="T40" s="58" t="s">
        <v>142</v>
      </c>
      <c r="U40" s="58" t="s">
        <v>280</v>
      </c>
      <c r="V40" s="59" t="s">
        <v>545</v>
      </c>
      <c r="W40" s="59" t="s">
        <v>146</v>
      </c>
      <c r="X40" s="59" t="s">
        <v>546</v>
      </c>
      <c r="Y40" s="59" t="s">
        <v>547</v>
      </c>
      <c r="Z40" s="59">
        <v>8840</v>
      </c>
      <c r="AA40" s="60" t="s">
        <v>548</v>
      </c>
      <c r="AB40" s="59" t="s">
        <v>549</v>
      </c>
      <c r="AC40" s="59" t="s">
        <v>550</v>
      </c>
      <c r="AD40" s="60"/>
      <c r="AE40" s="60" t="s">
        <v>150</v>
      </c>
      <c r="AF40" s="60" t="s">
        <v>151</v>
      </c>
      <c r="AG40" s="60" t="s">
        <v>151</v>
      </c>
      <c r="AH40" s="59" t="s">
        <v>546</v>
      </c>
    </row>
    <row r="41" spans="1:34">
      <c r="A41" s="58" t="s">
        <v>130</v>
      </c>
      <c r="B41" s="58" t="s">
        <v>131</v>
      </c>
      <c r="C41" s="58" t="s">
        <v>132</v>
      </c>
      <c r="D41" s="58" t="s">
        <v>536</v>
      </c>
      <c r="E41" s="59" t="s">
        <v>537</v>
      </c>
      <c r="F41" s="58" t="s">
        <v>538</v>
      </c>
      <c r="G41" s="58" t="s">
        <v>539</v>
      </c>
      <c r="H41" s="58" t="s">
        <v>540</v>
      </c>
      <c r="I41" s="59">
        <v>77</v>
      </c>
      <c r="J41" s="58" t="s">
        <v>179</v>
      </c>
      <c r="K41" s="58">
        <v>8840</v>
      </c>
      <c r="L41" s="59" t="s">
        <v>385</v>
      </c>
      <c r="M41" s="59" t="s">
        <v>541</v>
      </c>
      <c r="N41" s="58">
        <v>5600</v>
      </c>
      <c r="O41" s="58" t="s">
        <v>542</v>
      </c>
      <c r="P41" s="58" t="s">
        <v>543</v>
      </c>
      <c r="Q41" s="58" t="s">
        <v>76</v>
      </c>
      <c r="R41" s="58" t="s">
        <v>544</v>
      </c>
      <c r="S41" s="58" t="s">
        <v>142</v>
      </c>
      <c r="T41" s="58" t="s">
        <v>202</v>
      </c>
      <c r="U41" s="58" t="s">
        <v>280</v>
      </c>
      <c r="V41" s="59" t="s">
        <v>551</v>
      </c>
      <c r="W41" s="59" t="s">
        <v>150</v>
      </c>
      <c r="X41" s="59" t="s">
        <v>150</v>
      </c>
      <c r="Y41" s="59" t="s">
        <v>551</v>
      </c>
      <c r="Z41" s="59">
        <v>3240</v>
      </c>
      <c r="AA41" s="60" t="s">
        <v>150</v>
      </c>
      <c r="AB41" s="59" t="s">
        <v>552</v>
      </c>
      <c r="AC41" s="59" t="s">
        <v>553</v>
      </c>
      <c r="AD41" s="60"/>
      <c r="AE41" s="60" t="s">
        <v>150</v>
      </c>
      <c r="AF41" s="60" t="s">
        <v>151</v>
      </c>
      <c r="AG41" s="60" t="s">
        <v>151</v>
      </c>
      <c r="AH41" s="59" t="s">
        <v>551</v>
      </c>
    </row>
    <row r="42" spans="1:34">
      <c r="A42" s="58" t="s">
        <v>130</v>
      </c>
      <c r="B42" s="58" t="s">
        <v>131</v>
      </c>
      <c r="C42" s="58" t="s">
        <v>132</v>
      </c>
      <c r="D42" s="58" t="s">
        <v>554</v>
      </c>
      <c r="E42" s="59" t="s">
        <v>555</v>
      </c>
      <c r="F42" s="58" t="s">
        <v>556</v>
      </c>
      <c r="G42" s="58" t="s">
        <v>557</v>
      </c>
      <c r="H42" s="58" t="s">
        <v>558</v>
      </c>
      <c r="I42" s="59">
        <v>70</v>
      </c>
      <c r="J42" s="58" t="s">
        <v>275</v>
      </c>
      <c r="K42" s="58">
        <v>60335</v>
      </c>
      <c r="L42" s="59" t="s">
        <v>370</v>
      </c>
      <c r="M42" s="59" t="s">
        <v>559</v>
      </c>
      <c r="N42" s="58">
        <v>35000</v>
      </c>
      <c r="O42" s="58" t="s">
        <v>560</v>
      </c>
      <c r="P42" s="58" t="s">
        <v>141</v>
      </c>
      <c r="Q42" s="58" t="s">
        <v>195</v>
      </c>
      <c r="R42" s="58" t="s">
        <v>561</v>
      </c>
      <c r="S42" s="58" t="s">
        <v>142</v>
      </c>
      <c r="T42" s="58" t="s">
        <v>142</v>
      </c>
      <c r="U42" s="58" t="s">
        <v>84</v>
      </c>
      <c r="V42" s="59" t="s">
        <v>371</v>
      </c>
      <c r="W42" s="59" t="s">
        <v>150</v>
      </c>
      <c r="X42" s="59" t="s">
        <v>150</v>
      </c>
      <c r="Y42" s="59" t="s">
        <v>562</v>
      </c>
      <c r="Z42" s="59">
        <v>25335</v>
      </c>
      <c r="AA42" s="60" t="s">
        <v>563</v>
      </c>
      <c r="AB42" s="59" t="s">
        <v>236</v>
      </c>
      <c r="AC42" s="59" t="s">
        <v>564</v>
      </c>
      <c r="AD42" s="60"/>
      <c r="AE42" s="60" t="s">
        <v>150</v>
      </c>
      <c r="AF42" s="60" t="s">
        <v>151</v>
      </c>
      <c r="AG42" s="60" t="s">
        <v>151</v>
      </c>
      <c r="AH42" s="5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Data</vt:lpstr>
      <vt:lpstr>GMC Employee RFQ </vt:lpstr>
      <vt:lpstr>Demo</vt:lpstr>
      <vt:lpstr>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 Modi</dc:creator>
  <cp:lastModifiedBy>HP</cp:lastModifiedBy>
  <dcterms:created xsi:type="dcterms:W3CDTF">2023-09-13T04:49:00Z</dcterms:created>
  <dcterms:modified xsi:type="dcterms:W3CDTF">2025-04-17T10:15:34Z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C1332A91179E4247BA236C2813A4DCCF_13</vt:lpwstr>
  </property>
  <property fmtid="{D5CDD505-2E9C-101B-9397-08002B2CF9AE}" pid="3" name="KSOProductBuildVer">
    <vt:lpwstr>1033-12.2.0.13359</vt:lpwstr>
  </property>
</Properties>
</file>